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BALANCE" sheetId="2" r:id="rId6"/>
    <sheet state="visible" name="INVENTARIO" sheetId="3" r:id="rId7"/>
    <sheet state="visible" name="PROVEEDORES" sheetId="4" r:id="rId8"/>
    <sheet state="visible" name="VIÁTICOS" sheetId="5" r:id="rId9"/>
    <sheet state="visible" name="GASTOS" sheetId="6" r:id="rId10"/>
  </sheets>
  <definedNames>
    <definedName hidden="1" localSheetId="4" name="_xlnm._FilterDatabase">'VIÁTICOS'!$A$2:$AQ$26</definedName>
    <definedName hidden="1" localSheetId="5" name="_xlnm._FilterDatabase">GASTOS!$B$6:$G$49</definedName>
  </definedNames>
  <calcPr/>
</workbook>
</file>

<file path=xl/sharedStrings.xml><?xml version="1.0" encoding="utf-8"?>
<sst xmlns="http://schemas.openxmlformats.org/spreadsheetml/2006/main" count="511" uniqueCount="187">
  <si>
    <t>PRODUCTOS</t>
  </si>
  <si>
    <t>COSTO</t>
  </si>
  <si>
    <t>PRECIO SUGERIDO</t>
  </si>
  <si>
    <t>precio</t>
  </si>
  <si>
    <t>cantidad</t>
  </si>
  <si>
    <t>otro precio</t>
  </si>
  <si>
    <t>pin artesanal</t>
  </si>
  <si>
    <t>pin metálico</t>
  </si>
  <si>
    <t>lápices</t>
  </si>
  <si>
    <t>esfero astronauta</t>
  </si>
  <si>
    <t>libreta</t>
  </si>
  <si>
    <t>adhesivo luminoso</t>
  </si>
  <si>
    <t>cartuchera</t>
  </si>
  <si>
    <t>monedero</t>
  </si>
  <si>
    <t>cuaderno para colorear</t>
  </si>
  <si>
    <t>manilla eclipse sol</t>
  </si>
  <si>
    <t>manilla eclipse luna</t>
  </si>
  <si>
    <t>manilla tatacoa</t>
  </si>
  <si>
    <t>fotos pequeñas</t>
  </si>
  <si>
    <t>fotos grandes</t>
  </si>
  <si>
    <t>aretes</t>
  </si>
  <si>
    <t>carta celeste</t>
  </si>
  <si>
    <t>bolsas de tela</t>
  </si>
  <si>
    <t>esfero cohete</t>
  </si>
  <si>
    <t>mousepad</t>
  </si>
  <si>
    <t>tula de planetas</t>
  </si>
  <si>
    <t>cuadernos exploración</t>
  </si>
  <si>
    <t>gorras nasa</t>
  </si>
  <si>
    <t>libro Juno</t>
  </si>
  <si>
    <t>botilito</t>
  </si>
  <si>
    <t>gafas de sol</t>
  </si>
  <si>
    <t>cuello</t>
  </si>
  <si>
    <t>BALANCE DE VENTAS</t>
  </si>
  <si>
    <t>TOTAL</t>
  </si>
  <si>
    <t>dinero recaudado</t>
  </si>
  <si>
    <t>saldo proveedores</t>
  </si>
  <si>
    <t>ganancias</t>
  </si>
  <si>
    <t>producto</t>
  </si>
  <si>
    <t>costo unitario</t>
  </si>
  <si>
    <t>-</t>
  </si>
  <si>
    <t>gorra nasa</t>
  </si>
  <si>
    <t>saldo Galilea</t>
  </si>
  <si>
    <t>saldo Sebas</t>
  </si>
  <si>
    <t>saldo Santiago</t>
  </si>
  <si>
    <t>PRODUCTO</t>
  </si>
  <si>
    <t>NUEVOS 22/11</t>
  </si>
  <si>
    <t>VENDIDOS</t>
  </si>
  <si>
    <t>DESEADOS</t>
  </si>
  <si>
    <t>COMPARACIÓN</t>
  </si>
  <si>
    <t>TOTAL VENTAS</t>
  </si>
  <si>
    <t>diferencia</t>
  </si>
  <si>
    <t>desbalance</t>
  </si>
  <si>
    <t>pines</t>
  </si>
  <si>
    <t>lápices luna y planetas</t>
  </si>
  <si>
    <t>esferos</t>
  </si>
  <si>
    <t>cuaderno</t>
  </si>
  <si>
    <t>manilla</t>
  </si>
  <si>
    <t>Gafas</t>
  </si>
  <si>
    <t>Libros santi</t>
  </si>
  <si>
    <t>Libros goez</t>
  </si>
  <si>
    <t>Libros Sebas</t>
  </si>
  <si>
    <t>PAGO 1 GALILEA</t>
  </si>
  <si>
    <t>PAGO 1 SANTIAGO</t>
  </si>
  <si>
    <t>DINERO</t>
  </si>
  <si>
    <t>pin troquelado</t>
  </si>
  <si>
    <t>cuento Juno</t>
  </si>
  <si>
    <t>ABONO 07/12</t>
  </si>
  <si>
    <t>DEUDA</t>
  </si>
  <si>
    <t>cuaderno colores</t>
  </si>
  <si>
    <t>manillas</t>
  </si>
  <si>
    <t>postal pequeña</t>
  </si>
  <si>
    <t>postal grande</t>
  </si>
  <si>
    <t>ABONO 18/11</t>
  </si>
  <si>
    <t>PAGO 2 GALILEA</t>
  </si>
  <si>
    <t>bolitito</t>
  </si>
  <si>
    <t>ABONO 23/11</t>
  </si>
  <si>
    <t>PAGO 3 GALILEA</t>
  </si>
  <si>
    <t>ABONO 27/11</t>
  </si>
  <si>
    <t>PAGO 4 GALILEA</t>
  </si>
  <si>
    <t>ABONO 04/12</t>
  </si>
  <si>
    <t>PAGO 5 GALILEA</t>
  </si>
  <si>
    <t>ABONO 13/12</t>
  </si>
  <si>
    <t>PAGO 6 GALILEA</t>
  </si>
  <si>
    <t>ABONO 14/12</t>
  </si>
  <si>
    <t>NOMBRE</t>
  </si>
  <si>
    <t>SALDO</t>
  </si>
  <si>
    <t>GASTOS</t>
  </si>
  <si>
    <t>AJUSTE</t>
  </si>
  <si>
    <t>IPARM</t>
  </si>
  <si>
    <t>FEM</t>
  </si>
  <si>
    <t>OAN</t>
  </si>
  <si>
    <t>OAN/FEM</t>
  </si>
  <si>
    <t>MACARA</t>
  </si>
  <si>
    <t>UN</t>
  </si>
  <si>
    <t>Fómeque</t>
  </si>
  <si>
    <t>virtual</t>
  </si>
  <si>
    <t>14/14</t>
  </si>
  <si>
    <t>ganancias totales</t>
  </si>
  <si>
    <t>Andrés Torres</t>
  </si>
  <si>
    <t>Cristian Gómez</t>
  </si>
  <si>
    <t>Daniel Poveda Ruiz</t>
  </si>
  <si>
    <t>Felipe Gómez</t>
  </si>
  <si>
    <t>Joseph Alejandro Niño</t>
  </si>
  <si>
    <t>Joyse Alfonso Vargas</t>
  </si>
  <si>
    <t>Juan Angel Duque</t>
  </si>
  <si>
    <t>Juan Pablo Garavito</t>
  </si>
  <si>
    <t>Julián David Acosta</t>
  </si>
  <si>
    <t>Juliana Zúñiga</t>
  </si>
  <si>
    <t>Laura Jiménez</t>
  </si>
  <si>
    <t>Luis Carlos "topo"</t>
  </si>
  <si>
    <t>Luis Miguel Barbosa</t>
  </si>
  <si>
    <t>Manuel Herrera</t>
  </si>
  <si>
    <t>María Angélica</t>
  </si>
  <si>
    <t>Pedro Urrutia</t>
  </si>
  <si>
    <t>Samuel Felipe Noreña</t>
  </si>
  <si>
    <t>Santiago Sabogal</t>
  </si>
  <si>
    <t>Sara Chaparro</t>
  </si>
  <si>
    <t>Sebastián Lozano</t>
  </si>
  <si>
    <t>Valentina Zamudio</t>
  </si>
  <si>
    <t>Wilson Sarmiento</t>
  </si>
  <si>
    <t>Yeimy Telles</t>
  </si>
  <si>
    <t>Yul</t>
  </si>
  <si>
    <t>rubro</t>
  </si>
  <si>
    <t>porcentaje</t>
  </si>
  <si>
    <t>ganancias astrochaza</t>
  </si>
  <si>
    <t>gastos</t>
  </si>
  <si>
    <t>saldo restante</t>
  </si>
  <si>
    <t>viáticos</t>
  </si>
  <si>
    <t>caja menor</t>
  </si>
  <si>
    <t>equipamiento</t>
  </si>
  <si>
    <t>objeto</t>
  </si>
  <si>
    <t>fecha</t>
  </si>
  <si>
    <t>valor</t>
  </si>
  <si>
    <t>persona</t>
  </si>
  <si>
    <t>causa detallada</t>
  </si>
  <si>
    <t>termo</t>
  </si>
  <si>
    <t>reposición de termo por accidente</t>
  </si>
  <si>
    <t>canva premium</t>
  </si>
  <si>
    <t>suscripción mensual para diseños</t>
  </si>
  <si>
    <t>plastilina</t>
  </si>
  <si>
    <t>actividades en Unimonserrate</t>
  </si>
  <si>
    <t>pendón</t>
  </si>
  <si>
    <t>pendón de Cúmulo para actividades</t>
  </si>
  <si>
    <t>viáticos Andrés</t>
  </si>
  <si>
    <t>onces y transporte Macaravita</t>
  </si>
  <si>
    <t>viáticos Juliana</t>
  </si>
  <si>
    <t>viáticos Sebas</t>
  </si>
  <si>
    <t>onces y transportes Bogotá Macaravita</t>
  </si>
  <si>
    <t>viáticos Yul</t>
  </si>
  <si>
    <t>pizza y gaseosa</t>
  </si>
  <si>
    <t>actividad de integración</t>
  </si>
  <si>
    <t>almuerzo actividad UN</t>
  </si>
  <si>
    <t>lámina magnética</t>
  </si>
  <si>
    <t>lámina magnética para hacer imanes de nevera</t>
  </si>
  <si>
    <t>bolsa papá noel</t>
  </si>
  <si>
    <t>bolsa para llevar regalos</t>
  </si>
  <si>
    <t>viáticos Cristian</t>
  </si>
  <si>
    <t>abono de viáticos para Fómeque</t>
  </si>
  <si>
    <t>viáticos Felipe</t>
  </si>
  <si>
    <t>viáticos Julián</t>
  </si>
  <si>
    <t>viáticos María Angélica</t>
  </si>
  <si>
    <t>pago de alimentación</t>
  </si>
  <si>
    <t>viáticos Joseph</t>
  </si>
  <si>
    <t>viáticos Juan Angel</t>
  </si>
  <si>
    <t>viáticos Juancho</t>
  </si>
  <si>
    <t>viáticos Luis Carlos</t>
  </si>
  <si>
    <t>viáticos Pedro</t>
  </si>
  <si>
    <t>viáticos Samuel</t>
  </si>
  <si>
    <t>viáticos Sara Chaparro</t>
  </si>
  <si>
    <t>viáticos Valentina</t>
  </si>
  <si>
    <t>viáticos Wilson</t>
  </si>
  <si>
    <t>viáticos Yeimy</t>
  </si>
  <si>
    <t>cafetería</t>
  </si>
  <si>
    <t>onces durante la fabricación de los imanes</t>
  </si>
  <si>
    <t>corte de los diseños</t>
  </si>
  <si>
    <t>770 elementos cortados para la venta</t>
  </si>
  <si>
    <t>impresión de stickers</t>
  </si>
  <si>
    <t>385 stickers con 55 diseños para vender</t>
  </si>
  <si>
    <t>impresión para imanes</t>
  </si>
  <si>
    <t>385 imanes con 55 diseños para vender</t>
  </si>
  <si>
    <t>plastificación</t>
  </si>
  <si>
    <t>plastificación de las impresiones para el corte</t>
  </si>
  <si>
    <t>viáticos para abono del buso</t>
  </si>
  <si>
    <t>viáticos Sebastián</t>
  </si>
  <si>
    <t>viáticos para compra de gorra</t>
  </si>
  <si>
    <t>viáticos Laura Jiménez</t>
  </si>
  <si>
    <t>viáticos para compra de gorra y abono del buso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</si>
</sst>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"/>
    <numFmt numFmtId="165" formatCode="&quot;$&quot;#,##0"/>
    <numFmt numFmtId="166" formatCode="dd/mm"/>
    <numFmt numFmtId="167" formatCode="0.0%"/>
    <numFmt numFmtId="168" formatCode="dd&quot;/&quot;mm&quot;/&quot;yyyy"/>
    <numFmt numFmtId="169" formatCode="d/M/yyyy"/>
  </numFmts>
  <fonts count="13">
    <font>
      <sz val="10.0"/>
      <color rgb="FF000000"/>
      <name val="Arial"/>
      <scheme val="minor"/>
    </font>
    <font>
      <b/>
      <sz val="10.0"/>
      <color rgb="FF000000"/>
      <name val="Nunito"/>
    </font>
    <font>
      <b/>
      <sz val="10.0"/>
      <color theme="1"/>
      <name val="Nunito"/>
    </font>
    <font>
      <sz val="11.0"/>
      <color theme="1"/>
      <name val="Nunito"/>
    </font>
    <font>
      <sz val="10.0"/>
      <color rgb="FF000000"/>
      <name val="Nunito"/>
    </font>
    <font>
      <sz val="10.0"/>
      <color theme="1"/>
      <name val="Arial"/>
    </font>
    <font>
      <color theme="1"/>
      <name val="Nunito"/>
    </font>
    <font>
      <sz val="10.0"/>
      <color theme="1"/>
      <name val="Nunito"/>
    </font>
    <font>
      <color theme="1"/>
      <name val="Arial"/>
    </font>
    <font>
      <b/>
      <color theme="1"/>
      <name val="Nunito"/>
    </font>
    <font>
      <b/>
      <sz val="11.0"/>
      <color theme="1"/>
      <name val="Nunito"/>
    </font>
    <font/>
    <font>
      <sz val="10.0"/>
      <color rgb="FF351C75"/>
      <name val="Nunito"/>
    </font>
  </fonts>
  <fills count="1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7F4EC"/>
        <bgColor rgb="FFE7F4E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EEBF4"/>
        <bgColor rgb="FFEEEBF4"/>
      </patternFill>
    </fill>
  </fills>
  <borders count="6">
    <border/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</border>
    <border>
      <right style="thin">
        <color rgb="FFAEAAAA"/>
      </right>
      <top style="thin">
        <color rgb="FFAEAAAA"/>
      </top>
      <bottom style="thin">
        <color rgb="FFAEAAAA"/>
      </bottom>
    </border>
    <border>
      <left style="thin">
        <color rgb="FFAEAAAA"/>
      </left>
      <right style="thin">
        <color rgb="FFAEAAAA"/>
      </right>
      <bottom style="thin">
        <color rgb="FFAEAAAA"/>
      </bottom>
    </border>
    <border>
      <right style="thin">
        <color rgb="FFAEAAAA"/>
      </right>
      <bottom style="thin">
        <color rgb="FFAEAAAA"/>
      </bottom>
    </border>
    <border>
      <right style="thin">
        <color rgb="FF9900FF"/>
      </right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3" fontId="1" numFmtId="0" xfId="0" applyAlignment="1" applyFill="1" applyFont="1">
      <alignment horizontal="center" shrinkToFit="0" wrapText="0"/>
    </xf>
    <xf borderId="0" fillId="3" fontId="1" numFmtId="164" xfId="0" applyAlignment="1" applyFont="1" applyNumberFormat="1">
      <alignment horizontal="center" shrinkToFit="0" wrapText="0"/>
    </xf>
    <xf borderId="0" fillId="3" fontId="1" numFmtId="165" xfId="0" applyAlignment="1" applyFont="1" applyNumberFormat="1">
      <alignment horizontal="center" shrinkToFit="0" wrapText="0"/>
    </xf>
    <xf borderId="0" fillId="4" fontId="1" numFmtId="0" xfId="0" applyAlignment="1" applyFill="1" applyFont="1">
      <alignment horizontal="center" shrinkToFit="0" wrapText="0"/>
    </xf>
    <xf borderId="0" fillId="4" fontId="1" numFmtId="164" xfId="0" applyAlignment="1" applyFont="1" applyNumberFormat="1">
      <alignment horizontal="center" shrinkToFit="0" wrapText="0"/>
    </xf>
    <xf borderId="0" fillId="4" fontId="1" numFmtId="165" xfId="0" applyAlignment="1" applyFont="1" applyNumberFormat="1">
      <alignment horizontal="center" shrinkToFit="0" wrapText="0"/>
    </xf>
    <xf borderId="0" fillId="5" fontId="1" numFmtId="0" xfId="0" applyAlignment="1" applyFill="1" applyFont="1">
      <alignment horizontal="center" shrinkToFit="0" wrapText="0"/>
    </xf>
    <xf borderId="0" fillId="5" fontId="1" numFmtId="164" xfId="0" applyAlignment="1" applyFont="1" applyNumberFormat="1">
      <alignment horizontal="center" shrinkToFit="0" wrapText="0"/>
    </xf>
    <xf borderId="0" fillId="5" fontId="1" numFmtId="165" xfId="0" applyAlignment="1" applyFont="1" applyNumberFormat="1">
      <alignment horizontal="center" shrinkToFit="0" wrapText="0"/>
    </xf>
    <xf borderId="0" fillId="4" fontId="1" numFmtId="166" xfId="0" applyAlignment="1" applyFont="1" applyNumberFormat="1">
      <alignment horizontal="center" shrinkToFit="0" wrapText="0"/>
    </xf>
    <xf borderId="0" fillId="5" fontId="1" numFmtId="166" xfId="0" applyAlignment="1" applyFont="1" applyNumberFormat="1">
      <alignment horizontal="center" shrinkToFit="0" wrapText="0"/>
    </xf>
    <xf borderId="0" fillId="3" fontId="1" numFmtId="166" xfId="0" applyAlignment="1" applyFont="1" applyNumberFormat="1">
      <alignment horizontal="center" shrinkToFit="0" wrapText="0"/>
    </xf>
    <xf borderId="0" fillId="6" fontId="3" numFmtId="0" xfId="0" applyAlignment="1" applyFill="1" applyFont="1">
      <alignment horizontal="center"/>
    </xf>
    <xf borderId="0" fillId="6" fontId="1" numFmtId="165" xfId="0" applyAlignment="1" applyFont="1" applyNumberFormat="1">
      <alignment horizontal="center" shrinkToFit="0" wrapText="0"/>
    </xf>
    <xf borderId="0" fillId="0" fontId="4" numFmtId="165" xfId="0" applyAlignment="1" applyFont="1" applyNumberFormat="1">
      <alignment horizontal="center" shrinkToFit="0" wrapText="0"/>
    </xf>
    <xf borderId="0" fillId="3" fontId="4" numFmtId="165" xfId="0" applyAlignment="1" applyFont="1" applyNumberFormat="1">
      <alignment horizontal="center" shrinkToFit="0" wrapText="0"/>
    </xf>
    <xf borderId="0" fillId="3" fontId="4" numFmtId="0" xfId="0" applyAlignment="1" applyFont="1">
      <alignment horizontal="center" shrinkToFit="0" wrapText="0"/>
    </xf>
    <xf borderId="0" fillId="4" fontId="4" numFmtId="165" xfId="0" applyAlignment="1" applyFont="1" applyNumberFormat="1">
      <alignment horizontal="center" shrinkToFit="0" wrapText="0"/>
    </xf>
    <xf borderId="0" fillId="4" fontId="4" numFmtId="0" xfId="0" applyAlignment="1" applyFont="1">
      <alignment horizontal="center" shrinkToFit="0" wrapText="0"/>
    </xf>
    <xf borderId="0" fillId="5" fontId="4" numFmtId="165" xfId="0" applyAlignment="1" applyFont="1" applyNumberFormat="1">
      <alignment horizontal="center" shrinkToFit="0" wrapText="0"/>
    </xf>
    <xf borderId="0" fillId="5" fontId="4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5" numFmtId="0" xfId="0" applyFont="1"/>
    <xf borderId="0" fillId="6" fontId="1" numFmtId="0" xfId="0" applyAlignment="1" applyFont="1">
      <alignment horizontal="center"/>
    </xf>
    <xf borderId="0" fillId="6" fontId="1" numFmtId="165" xfId="0" applyAlignment="1" applyFont="1" applyNumberFormat="1">
      <alignment horizontal="center"/>
    </xf>
    <xf borderId="0" fillId="3" fontId="1" numFmtId="164" xfId="0" applyAlignment="1" applyFont="1" applyNumberFormat="1">
      <alignment horizontal="center"/>
    </xf>
    <xf borderId="0" fillId="4" fontId="1" numFmtId="164" xfId="0" applyAlignment="1" applyFont="1" applyNumberFormat="1">
      <alignment horizontal="center"/>
    </xf>
    <xf borderId="0" fillId="5" fontId="1" numFmtId="164" xfId="0" applyAlignment="1" applyFont="1" applyNumberFormat="1">
      <alignment horizontal="center"/>
    </xf>
    <xf borderId="0" fillId="0" fontId="6" numFmtId="0" xfId="0" applyFont="1"/>
    <xf borderId="0" fillId="6" fontId="7" numFmtId="0" xfId="0" applyAlignment="1" applyFont="1">
      <alignment horizontal="center"/>
    </xf>
    <xf borderId="0" fillId="6" fontId="7" numFmtId="165" xfId="0" applyAlignment="1" applyFont="1" applyNumberFormat="1">
      <alignment horizontal="center"/>
    </xf>
    <xf borderId="0" fillId="3" fontId="7" numFmtId="165" xfId="0" applyAlignment="1" applyFont="1" applyNumberFormat="1">
      <alignment horizontal="center"/>
    </xf>
    <xf borderId="0" fillId="4" fontId="7" numFmtId="165" xfId="0" applyAlignment="1" applyFont="1" applyNumberFormat="1">
      <alignment horizontal="center"/>
    </xf>
    <xf borderId="0" fillId="5" fontId="7" numFmtId="165" xfId="0" applyAlignment="1" applyFont="1" applyNumberFormat="1">
      <alignment horizontal="center"/>
    </xf>
    <xf borderId="0" fillId="6" fontId="2" numFmtId="0" xfId="0" applyAlignment="1" applyFont="1">
      <alignment horizontal="center"/>
    </xf>
    <xf borderId="0" fillId="6" fontId="2" numFmtId="165" xfId="0" applyAlignment="1" applyFont="1" applyNumberFormat="1">
      <alignment horizontal="center"/>
    </xf>
    <xf borderId="0" fillId="3" fontId="2" numFmtId="165" xfId="0" applyAlignment="1" applyFont="1" applyNumberFormat="1">
      <alignment horizontal="center"/>
    </xf>
    <xf borderId="0" fillId="4" fontId="2" numFmtId="165" xfId="0" applyAlignment="1" applyFont="1" applyNumberFormat="1">
      <alignment horizontal="center"/>
    </xf>
    <xf borderId="0" fillId="5" fontId="2" numFmtId="165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165" xfId="0" applyFont="1" applyNumberFormat="1"/>
    <xf borderId="0" fillId="0" fontId="8" numFmtId="164" xfId="0" applyFont="1" applyNumberFormat="1"/>
    <xf borderId="0" fillId="0" fontId="8" numFmtId="0" xfId="0" applyFont="1"/>
    <xf borderId="0" fillId="2" fontId="1" numFmtId="0" xfId="0" applyAlignment="1" applyFont="1">
      <alignment horizontal="center"/>
    </xf>
    <xf borderId="0" fillId="2" fontId="1" numFmtId="165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4" numFmtId="3" xfId="0" applyAlignment="1" applyFont="1" applyNumberFormat="1">
      <alignment horizontal="center" shrinkToFit="0" wrapText="0"/>
    </xf>
    <xf borderId="0" fillId="2" fontId="7" numFmtId="0" xfId="0" applyAlignment="1" applyFont="1">
      <alignment horizontal="center"/>
    </xf>
    <xf borderId="0" fillId="2" fontId="7" numFmtId="165" xfId="0" applyAlignment="1" applyFont="1" applyNumberFormat="1">
      <alignment horizontal="center"/>
    </xf>
    <xf borderId="0" fillId="2" fontId="4" numFmtId="165" xfId="0" applyAlignment="1" applyFont="1" applyNumberFormat="1">
      <alignment horizontal="center" shrinkToFit="0" wrapText="0"/>
    </xf>
    <xf borderId="0" fillId="0" fontId="6" numFmtId="0" xfId="0" applyAlignment="1" applyFont="1">
      <alignment horizontal="center"/>
    </xf>
    <xf borderId="0" fillId="0" fontId="6" numFmtId="165" xfId="0" applyFont="1" applyNumberFormat="1"/>
    <xf borderId="0" fillId="2" fontId="2" numFmtId="164" xfId="0" applyAlignment="1" applyFont="1" applyNumberFormat="1">
      <alignment horizontal="center" vertical="center"/>
    </xf>
    <xf borderId="0" fillId="7" fontId="2" numFmtId="166" xfId="0" applyAlignment="1" applyFill="1" applyFont="1" applyNumberFormat="1">
      <alignment horizontal="center" vertical="center"/>
    </xf>
    <xf borderId="0" fillId="7" fontId="9" numFmtId="166" xfId="0" applyAlignment="1" applyFont="1" applyNumberFormat="1">
      <alignment horizontal="center"/>
    </xf>
    <xf borderId="0" fillId="2" fontId="9" numFmtId="0" xfId="0" applyAlignment="1" applyFont="1">
      <alignment horizontal="center"/>
    </xf>
    <xf borderId="0" fillId="2" fontId="9" numFmtId="164" xfId="0" applyAlignment="1" applyFont="1" applyNumberFormat="1">
      <alignment horizontal="center"/>
    </xf>
    <xf borderId="0" fillId="8" fontId="3" numFmtId="0" xfId="0" applyAlignment="1" applyFill="1" applyFont="1">
      <alignment horizontal="center"/>
    </xf>
    <xf borderId="0" fillId="7" fontId="6" numFmtId="0" xfId="0" applyAlignment="1" applyFont="1">
      <alignment horizontal="center"/>
    </xf>
    <xf borderId="0" fillId="7" fontId="8" numFmtId="0" xfId="0" applyFont="1"/>
    <xf borderId="0" fillId="0" fontId="8" numFmtId="165" xfId="0" applyAlignment="1" applyFont="1" applyNumberFormat="1">
      <alignment vertical="bottom"/>
    </xf>
    <xf borderId="0" fillId="7" fontId="8" numFmtId="165" xfId="0" applyAlignment="1" applyFont="1" applyNumberFormat="1">
      <alignment vertical="bottom"/>
    </xf>
    <xf borderId="0" fillId="7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3" numFmtId="165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4" fillId="0" fontId="10" numFmtId="165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8" numFmtId="3" xfId="0" applyFont="1" applyNumberFormat="1"/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9" fontId="2" numFmtId="0" xfId="0" applyAlignment="1" applyFill="1" applyFont="1">
      <alignment horizontal="center"/>
    </xf>
    <xf borderId="0" fillId="3" fontId="2" numFmtId="0" xfId="0" applyAlignment="1" applyFont="1">
      <alignment horizontal="center"/>
    </xf>
    <xf borderId="0" fillId="3" fontId="2" numFmtId="164" xfId="0" applyAlignment="1" applyFont="1" applyNumberFormat="1">
      <alignment horizontal="center"/>
    </xf>
    <xf borderId="5" fillId="0" fontId="11" numFmtId="0" xfId="0" applyBorder="1" applyFont="1"/>
    <xf borderId="0" fillId="4" fontId="2" numFmtId="0" xfId="0" applyAlignment="1" applyFont="1">
      <alignment horizontal="center"/>
    </xf>
    <xf borderId="0" fillId="4" fontId="2" numFmtId="164" xfId="0" applyAlignment="1" applyFont="1" applyNumberFormat="1">
      <alignment horizontal="center"/>
    </xf>
    <xf borderId="0" fillId="5" fontId="2" numFmtId="0" xfId="0" applyAlignment="1" applyFont="1">
      <alignment horizontal="center"/>
    </xf>
    <xf borderId="0" fillId="5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10" fontId="2" numFmtId="165" xfId="0" applyAlignment="1" applyFill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0" fillId="0" fontId="7" numFmtId="165" xfId="0" applyAlignment="1" applyFont="1" applyNumberFormat="1">
      <alignment horizontal="center" vertical="center"/>
    </xf>
    <xf borderId="0" fillId="10" fontId="7" numFmtId="165" xfId="0" applyAlignment="1" applyFont="1" applyNumberFormat="1">
      <alignment horizontal="center"/>
    </xf>
    <xf borderId="0" fillId="0" fontId="7" numFmtId="9" xfId="0" applyAlignment="1" applyFont="1" applyNumberFormat="1">
      <alignment horizontal="center"/>
    </xf>
    <xf borderId="5" fillId="0" fontId="7" numFmtId="165" xfId="0" applyAlignment="1" applyBorder="1" applyFont="1" applyNumberFormat="1">
      <alignment horizontal="center"/>
    </xf>
    <xf borderId="0" fillId="0" fontId="12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bottom"/>
    </xf>
    <xf borderId="0" fillId="0" fontId="7" numFmtId="9" xfId="0" applyAlignment="1" applyFont="1" applyNumberFormat="1">
      <alignment horizontal="center" vertical="bottom"/>
    </xf>
    <xf borderId="0" fillId="0" fontId="7" numFmtId="0" xfId="0" applyFont="1"/>
    <xf borderId="0" fillId="0" fontId="8" numFmtId="0" xfId="0" applyAlignment="1" applyFont="1">
      <alignment readingOrder="0"/>
    </xf>
    <xf borderId="0" fillId="6" fontId="10" numFmtId="0" xfId="0" applyAlignment="1" applyFont="1">
      <alignment horizontal="center"/>
    </xf>
    <xf borderId="0" fillId="6" fontId="10" numFmtId="165" xfId="0" applyAlignment="1" applyFont="1" applyNumberFormat="1">
      <alignment horizontal="center" readingOrder="0"/>
    </xf>
    <xf borderId="0" fillId="6" fontId="10" numFmtId="165" xfId="0" applyAlignment="1" applyFont="1" applyNumberFormat="1">
      <alignment horizontal="center"/>
    </xf>
    <xf borderId="0" fillId="11" fontId="3" numFmtId="0" xfId="0" applyAlignment="1" applyFill="1" applyFont="1">
      <alignment horizontal="center"/>
    </xf>
    <xf borderId="0" fillId="11" fontId="3" numFmtId="167" xfId="0" applyAlignment="1" applyFont="1" applyNumberFormat="1">
      <alignment horizontal="center" readingOrder="0"/>
    </xf>
    <xf borderId="0" fillId="11" fontId="3" numFmtId="165" xfId="0" applyAlignment="1" applyFont="1" applyNumberFormat="1">
      <alignment horizontal="center"/>
    </xf>
    <xf borderId="0" fillId="11" fontId="10" numFmtId="165" xfId="0" applyAlignment="1" applyFont="1" applyNumberFormat="1">
      <alignment horizontal="center"/>
    </xf>
    <xf borderId="0" fillId="6" fontId="3" numFmtId="167" xfId="0" applyAlignment="1" applyFont="1" applyNumberFormat="1">
      <alignment horizontal="center"/>
    </xf>
    <xf borderId="0" fillId="6" fontId="3" numFmtId="165" xfId="0" applyAlignment="1" applyFont="1" applyNumberFormat="1">
      <alignment horizontal="center"/>
    </xf>
    <xf borderId="0" fillId="6" fontId="3" numFmtId="10" xfId="0" applyAlignment="1" applyFont="1" applyNumberFormat="1">
      <alignment horizontal="center" readingOrder="0"/>
    </xf>
    <xf borderId="0" fillId="12" fontId="10" numFmtId="0" xfId="0" applyAlignment="1" applyFill="1" applyFont="1">
      <alignment horizontal="center"/>
    </xf>
    <xf borderId="0" fillId="12" fontId="10" numFmtId="165" xfId="0" applyAlignment="1" applyFont="1" applyNumberFormat="1">
      <alignment horizontal="center"/>
    </xf>
    <xf borderId="0" fillId="12" fontId="10" numFmtId="165" xfId="0" applyAlignment="1" applyFont="1" applyNumberFormat="1">
      <alignment horizontal="center" readingOrder="0"/>
    </xf>
    <xf borderId="0" fillId="12" fontId="3" numFmtId="165" xfId="0" applyAlignment="1" applyFont="1" applyNumberFormat="1">
      <alignment horizontal="center"/>
    </xf>
    <xf borderId="0" fillId="12" fontId="3" numFmtId="168" xfId="0" applyAlignment="1" applyFont="1" applyNumberFormat="1">
      <alignment horizontal="center"/>
    </xf>
    <xf borderId="0" fillId="12" fontId="3" numFmtId="165" xfId="0" applyAlignment="1" applyFont="1" applyNumberFormat="1">
      <alignment horizontal="center" readingOrder="0"/>
    </xf>
    <xf borderId="0" fillId="12" fontId="3" numFmtId="169" xfId="0" applyAlignment="1" applyFont="1" applyNumberFormat="1">
      <alignment horizontal="center"/>
    </xf>
    <xf borderId="0" fillId="12" fontId="3" numFmtId="168" xfId="0" applyAlignment="1" applyFont="1" applyNumberFormat="1">
      <alignment horizontal="center" readingOrder="0"/>
    </xf>
    <xf borderId="0" fillId="12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7F4EC"/>
          <bgColor rgb="FFE7F4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0"/>
    <col customWidth="1" min="2" max="2" width="10.38"/>
    <col customWidth="1" min="3" max="3" width="16.25"/>
    <col customWidth="1" min="4" max="6" width="9.88"/>
    <col customWidth="1" min="7" max="7" width="9.38"/>
    <col customWidth="1" min="8" max="12" width="9.88"/>
    <col customWidth="1" min="13" max="13" width="9.38"/>
    <col customWidth="1" min="14" max="17" width="9.88"/>
    <col customWidth="1" min="18" max="18" width="9.38"/>
    <col customWidth="1" min="19" max="19" width="9.88"/>
    <col customWidth="1" min="20" max="24" width="10.25"/>
    <col customWidth="1" min="25" max="29" width="10.63"/>
    <col customWidth="1" min="30" max="39" width="10.25"/>
    <col customWidth="1" min="40" max="44" width="10.63"/>
    <col customWidth="1" min="45" max="54" width="10.25"/>
    <col customWidth="1" min="55" max="59" width="10.63"/>
    <col customWidth="1" min="60" max="69" width="10.2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>
        <v>45246.0</v>
      </c>
      <c r="G1" s="3" t="s">
        <v>5</v>
      </c>
      <c r="H1" s="5">
        <f>SUM(F2:F25)+SUM(H2:H17)</f>
        <v>323000</v>
      </c>
      <c r="I1" s="6"/>
      <c r="J1" s="6" t="s">
        <v>3</v>
      </c>
      <c r="K1" s="6" t="s">
        <v>4</v>
      </c>
      <c r="L1" s="7">
        <v>45247.0</v>
      </c>
      <c r="M1" s="6" t="s">
        <v>5</v>
      </c>
      <c r="N1" s="8">
        <f>SUM(L2:L26)+SUM(N2:N24)</f>
        <v>210000</v>
      </c>
      <c r="O1" s="9" t="s">
        <v>3</v>
      </c>
      <c r="P1" s="9" t="s">
        <v>4</v>
      </c>
      <c r="Q1" s="10">
        <v>45250.0</v>
      </c>
      <c r="R1" s="9" t="s">
        <v>5</v>
      </c>
      <c r="S1" s="11">
        <f>sum(Q2:Q24)+SUM(S2:S24)</f>
        <v>56000</v>
      </c>
      <c r="T1" s="3" t="s">
        <v>3</v>
      </c>
      <c r="U1" s="3" t="s">
        <v>4</v>
      </c>
      <c r="V1" s="4">
        <v>45253.0</v>
      </c>
      <c r="W1" s="3" t="s">
        <v>5</v>
      </c>
      <c r="X1" s="5">
        <f>sum(V2:V25)+SUM(X2:X25)</f>
        <v>218200</v>
      </c>
      <c r="Y1" s="6" t="s">
        <v>3</v>
      </c>
      <c r="Z1" s="6" t="s">
        <v>4</v>
      </c>
      <c r="AA1" s="7">
        <v>45254.0</v>
      </c>
      <c r="AB1" s="6" t="s">
        <v>5</v>
      </c>
      <c r="AC1" s="8">
        <f>SUM(AA2:AA26)+SUM(AC2:AC24)</f>
        <v>266000</v>
      </c>
      <c r="AD1" s="9" t="s">
        <v>3</v>
      </c>
      <c r="AE1" s="9" t="s">
        <v>4</v>
      </c>
      <c r="AF1" s="10">
        <v>45255.0</v>
      </c>
      <c r="AG1" s="9" t="s">
        <v>5</v>
      </c>
      <c r="AH1" s="11">
        <f>sum(AF2:AF27)+SUM(AH2:AH27)</f>
        <v>334000</v>
      </c>
      <c r="AI1" s="3" t="s">
        <v>3</v>
      </c>
      <c r="AJ1" s="3" t="s">
        <v>4</v>
      </c>
      <c r="AK1" s="4">
        <v>45256.0</v>
      </c>
      <c r="AL1" s="3" t="s">
        <v>5</v>
      </c>
      <c r="AM1" s="5">
        <f>sum(AK2:AK30)+SUM(AM2:AM30)</f>
        <v>238000</v>
      </c>
      <c r="AN1" s="6" t="s">
        <v>3</v>
      </c>
      <c r="AO1" s="6" t="s">
        <v>4</v>
      </c>
      <c r="AP1" s="12">
        <v>45261.0</v>
      </c>
      <c r="AQ1" s="6" t="s">
        <v>5</v>
      </c>
      <c r="AR1" s="8">
        <f>SUM(AP2:AP30)+SUM(AR2:AR30)</f>
        <v>53000</v>
      </c>
      <c r="AS1" s="9" t="s">
        <v>3</v>
      </c>
      <c r="AT1" s="9" t="s">
        <v>4</v>
      </c>
      <c r="AU1" s="13">
        <v>45263.0</v>
      </c>
      <c r="AV1" s="9" t="s">
        <v>5</v>
      </c>
      <c r="AW1" s="11">
        <f>sum(AU2:AU27)+SUM(AW2:AW27)</f>
        <v>803000</v>
      </c>
      <c r="AX1" s="3" t="s">
        <v>3</v>
      </c>
      <c r="AY1" s="3" t="s">
        <v>4</v>
      </c>
      <c r="AZ1" s="14">
        <v>45267.0</v>
      </c>
      <c r="BA1" s="3" t="s">
        <v>5</v>
      </c>
      <c r="BB1" s="5">
        <f>sum(AZ2:AZ30)+SUM(BB2:BB30)</f>
        <v>111000</v>
      </c>
      <c r="BC1" s="6" t="s">
        <v>3</v>
      </c>
      <c r="BD1" s="6" t="s">
        <v>4</v>
      </c>
      <c r="BE1" s="7">
        <v>45270.0</v>
      </c>
      <c r="BF1" s="6" t="s">
        <v>5</v>
      </c>
      <c r="BG1" s="8">
        <f>SUM(BE2:BE30)+SUM(BG2:BG30)</f>
        <v>44000</v>
      </c>
      <c r="BH1" s="9" t="s">
        <v>3</v>
      </c>
      <c r="BI1" s="9" t="s">
        <v>4</v>
      </c>
      <c r="BJ1" s="13">
        <v>45272.0</v>
      </c>
      <c r="BK1" s="9" t="s">
        <v>5</v>
      </c>
      <c r="BL1" s="11">
        <f>sum(BJ2:BJ27)+SUM(BL2:BL27)</f>
        <v>110000</v>
      </c>
      <c r="BM1" s="3" t="s">
        <v>3</v>
      </c>
      <c r="BN1" s="3" t="s">
        <v>4</v>
      </c>
      <c r="BO1" s="14">
        <v>45274.0</v>
      </c>
      <c r="BP1" s="3" t="s">
        <v>5</v>
      </c>
      <c r="BQ1" s="5">
        <f>sum(BO2:BO30)+SUM(BQ2:BQ30)</f>
        <v>128000</v>
      </c>
    </row>
    <row r="2" ht="15.75" customHeight="1">
      <c r="A2" s="15" t="s">
        <v>6</v>
      </c>
      <c r="B2" s="16">
        <v>14000.0</v>
      </c>
      <c r="C2" s="17">
        <v>18000.0</v>
      </c>
      <c r="D2" s="18">
        <v>18000.0</v>
      </c>
      <c r="E2" s="19">
        <v>0.0</v>
      </c>
      <c r="F2" s="18">
        <f t="shared" ref="F2:F17" si="1">E2*D2</f>
        <v>0</v>
      </c>
      <c r="G2" s="19">
        <v>0.0</v>
      </c>
      <c r="H2" s="18">
        <v>0.0</v>
      </c>
      <c r="I2" s="20"/>
      <c r="J2" s="20">
        <v>18000.0</v>
      </c>
      <c r="K2" s="21">
        <v>1.0</v>
      </c>
      <c r="L2" s="20">
        <f t="shared" ref="L2:L17" si="2">K2*J2</f>
        <v>18000</v>
      </c>
      <c r="M2" s="21">
        <v>0.0</v>
      </c>
      <c r="N2" s="20">
        <v>0.0</v>
      </c>
      <c r="O2" s="22">
        <v>18000.0</v>
      </c>
      <c r="P2" s="23">
        <v>0.0</v>
      </c>
      <c r="Q2" s="22">
        <f t="shared" ref="Q2:Q23" si="3">P2*O2</f>
        <v>0</v>
      </c>
      <c r="R2" s="23">
        <v>0.0</v>
      </c>
      <c r="S2" s="22">
        <f t="shared" ref="S2:S23" si="4">R2*Q2</f>
        <v>0</v>
      </c>
      <c r="T2" s="18">
        <v>18000.0</v>
      </c>
      <c r="U2" s="19">
        <v>0.0</v>
      </c>
      <c r="V2" s="18">
        <f t="shared" ref="V2:V25" si="5">U2*T2</f>
        <v>0</v>
      </c>
      <c r="W2" s="19">
        <v>0.0</v>
      </c>
      <c r="X2" s="18">
        <v>0.0</v>
      </c>
      <c r="Y2" s="20">
        <v>18000.0</v>
      </c>
      <c r="Z2" s="21">
        <v>0.0</v>
      </c>
      <c r="AA2" s="20">
        <f t="shared" ref="AA2:AA25" si="6">Z2*Y2</f>
        <v>0</v>
      </c>
      <c r="AB2" s="21">
        <v>0.0</v>
      </c>
      <c r="AC2" s="20">
        <v>0.0</v>
      </c>
      <c r="AD2" s="22">
        <v>18000.0</v>
      </c>
      <c r="AE2" s="23">
        <v>0.0</v>
      </c>
      <c r="AF2" s="22">
        <f t="shared" ref="AF2:AF27" si="7">AE2*AD2</f>
        <v>0</v>
      </c>
      <c r="AG2" s="23">
        <v>0.0</v>
      </c>
      <c r="AH2" s="22">
        <v>0.0</v>
      </c>
      <c r="AI2" s="18">
        <v>18000.0</v>
      </c>
      <c r="AJ2" s="19">
        <v>1.0</v>
      </c>
      <c r="AK2" s="18">
        <f t="shared" ref="AK2:AK27" si="8">AJ2*AI2</f>
        <v>18000</v>
      </c>
      <c r="AL2" s="19">
        <v>0.0</v>
      </c>
      <c r="AM2" s="18">
        <v>0.0</v>
      </c>
      <c r="AN2" s="20">
        <v>18000.0</v>
      </c>
      <c r="AO2" s="21">
        <v>0.0</v>
      </c>
      <c r="AP2" s="20">
        <f t="shared" ref="AP2:AP27" si="9">AO2*AN2</f>
        <v>0</v>
      </c>
      <c r="AQ2" s="21">
        <v>0.0</v>
      </c>
      <c r="AR2" s="20">
        <f>AQ2*AP2</f>
        <v>0</v>
      </c>
      <c r="AS2" s="22">
        <v>18000.0</v>
      </c>
      <c r="AT2" s="23">
        <v>1.0</v>
      </c>
      <c r="AU2" s="22">
        <f t="shared" ref="AU2:AU27" si="10">AT2*AS2</f>
        <v>18000</v>
      </c>
      <c r="AV2" s="23">
        <v>0.0</v>
      </c>
      <c r="AW2" s="22">
        <v>0.0</v>
      </c>
      <c r="AX2" s="18">
        <v>18000.0</v>
      </c>
      <c r="AY2" s="19">
        <v>0.0</v>
      </c>
      <c r="AZ2" s="18">
        <f t="shared" ref="AZ2:AZ27" si="11">AY2*AX2</f>
        <v>0</v>
      </c>
      <c r="BA2" s="19">
        <v>0.0</v>
      </c>
      <c r="BB2" s="18">
        <v>0.0</v>
      </c>
      <c r="BC2" s="20">
        <v>18000.0</v>
      </c>
      <c r="BD2" s="21">
        <v>0.0</v>
      </c>
      <c r="BE2" s="20">
        <f t="shared" ref="BE2:BE27" si="12">BD2*BC2</f>
        <v>0</v>
      </c>
      <c r="BF2" s="21">
        <v>0.0</v>
      </c>
      <c r="BG2" s="20">
        <v>0.0</v>
      </c>
      <c r="BH2" s="22">
        <v>18000.0</v>
      </c>
      <c r="BI2" s="23">
        <v>0.0</v>
      </c>
      <c r="BJ2" s="22">
        <f t="shared" ref="BJ2:BJ27" si="13">BI2*BH2</f>
        <v>0</v>
      </c>
      <c r="BK2" s="23">
        <v>0.0</v>
      </c>
      <c r="BL2" s="22">
        <v>0.0</v>
      </c>
      <c r="BM2" s="18">
        <v>18000.0</v>
      </c>
      <c r="BN2" s="19">
        <v>0.0</v>
      </c>
      <c r="BO2" s="18">
        <f t="shared" ref="BO2:BO27" si="14">BN2*BM2</f>
        <v>0</v>
      </c>
      <c r="BP2" s="19">
        <v>0.0</v>
      </c>
      <c r="BQ2" s="18">
        <v>0.0</v>
      </c>
    </row>
    <row r="3" ht="15.75" customHeight="1">
      <c r="A3" s="15" t="s">
        <v>7</v>
      </c>
      <c r="B3" s="16">
        <v>7000.0</v>
      </c>
      <c r="C3" s="17">
        <v>10000.0</v>
      </c>
      <c r="D3" s="18">
        <v>10000.0</v>
      </c>
      <c r="E3" s="19">
        <v>4.0</v>
      </c>
      <c r="F3" s="18">
        <f t="shared" si="1"/>
        <v>40000</v>
      </c>
      <c r="G3" s="19">
        <v>1.0</v>
      </c>
      <c r="H3" s="18">
        <v>7000.0</v>
      </c>
      <c r="I3" s="20"/>
      <c r="J3" s="20">
        <v>10000.0</v>
      </c>
      <c r="K3" s="21">
        <v>2.0</v>
      </c>
      <c r="L3" s="20">
        <f t="shared" si="2"/>
        <v>20000</v>
      </c>
      <c r="M3" s="21">
        <v>0.0</v>
      </c>
      <c r="N3" s="20">
        <v>0.0</v>
      </c>
      <c r="O3" s="22">
        <v>10000.0</v>
      </c>
      <c r="P3" s="23">
        <v>0.0</v>
      </c>
      <c r="Q3" s="22">
        <f t="shared" si="3"/>
        <v>0</v>
      </c>
      <c r="R3" s="23">
        <v>0.0</v>
      </c>
      <c r="S3" s="22">
        <f t="shared" si="4"/>
        <v>0</v>
      </c>
      <c r="T3" s="18">
        <v>10000.0</v>
      </c>
      <c r="U3" s="19">
        <v>4.0</v>
      </c>
      <c r="V3" s="18">
        <f t="shared" si="5"/>
        <v>40000</v>
      </c>
      <c r="W3" s="19">
        <v>0.0</v>
      </c>
      <c r="X3" s="18">
        <f>8400*5</f>
        <v>42000</v>
      </c>
      <c r="Y3" s="20">
        <v>10000.0</v>
      </c>
      <c r="Z3" s="21">
        <v>2.0</v>
      </c>
      <c r="AA3" s="20">
        <f t="shared" si="6"/>
        <v>20000</v>
      </c>
      <c r="AB3" s="21">
        <v>0.0</v>
      </c>
      <c r="AC3" s="20">
        <v>0.0</v>
      </c>
      <c r="AD3" s="22">
        <v>10000.0</v>
      </c>
      <c r="AE3" s="23">
        <v>3.0</v>
      </c>
      <c r="AF3" s="22">
        <f t="shared" si="7"/>
        <v>30000</v>
      </c>
      <c r="AG3" s="23">
        <v>0.0</v>
      </c>
      <c r="AH3" s="22">
        <v>0.0</v>
      </c>
      <c r="AI3" s="18">
        <v>10000.0</v>
      </c>
      <c r="AJ3" s="19">
        <v>2.0</v>
      </c>
      <c r="AK3" s="18">
        <f t="shared" si="8"/>
        <v>20000</v>
      </c>
      <c r="AL3" s="19">
        <v>0.0</v>
      </c>
      <c r="AM3" s="18">
        <v>0.0</v>
      </c>
      <c r="AN3" s="20">
        <v>10000.0</v>
      </c>
      <c r="AO3" s="21">
        <v>3.0</v>
      </c>
      <c r="AP3" s="20">
        <f t="shared" si="9"/>
        <v>30000</v>
      </c>
      <c r="AQ3" s="21">
        <v>1.0</v>
      </c>
      <c r="AR3" s="20">
        <v>8000.0</v>
      </c>
      <c r="AS3" s="22">
        <v>10000.0</v>
      </c>
      <c r="AT3" s="23">
        <v>13.0</v>
      </c>
      <c r="AU3" s="22">
        <f t="shared" si="10"/>
        <v>130000</v>
      </c>
      <c r="AV3" s="23">
        <v>0.0</v>
      </c>
      <c r="AW3" s="22">
        <v>0.0</v>
      </c>
      <c r="AX3" s="18">
        <v>10000.0</v>
      </c>
      <c r="AY3" s="19">
        <v>1.0</v>
      </c>
      <c r="AZ3" s="18">
        <f t="shared" si="11"/>
        <v>10000</v>
      </c>
      <c r="BA3" s="19">
        <v>0.0</v>
      </c>
      <c r="BB3" s="18">
        <v>0.0</v>
      </c>
      <c r="BC3" s="20">
        <v>10000.0</v>
      </c>
      <c r="BD3" s="21">
        <v>1.0</v>
      </c>
      <c r="BE3" s="20">
        <f t="shared" si="12"/>
        <v>10000</v>
      </c>
      <c r="BF3" s="21">
        <v>0.0</v>
      </c>
      <c r="BG3" s="20">
        <v>0.0</v>
      </c>
      <c r="BH3" s="22">
        <v>10000.0</v>
      </c>
      <c r="BI3" s="23">
        <v>0.0</v>
      </c>
      <c r="BJ3" s="22">
        <f t="shared" si="13"/>
        <v>0</v>
      </c>
      <c r="BK3" s="23">
        <v>0.0</v>
      </c>
      <c r="BL3" s="22">
        <v>0.0</v>
      </c>
      <c r="BM3" s="18">
        <v>10000.0</v>
      </c>
      <c r="BN3" s="19">
        <v>0.0</v>
      </c>
      <c r="BO3" s="18">
        <f t="shared" si="14"/>
        <v>0</v>
      </c>
      <c r="BP3" s="19">
        <v>0.0</v>
      </c>
      <c r="BQ3" s="18">
        <v>0.0</v>
      </c>
    </row>
    <row r="4" ht="15.75" customHeight="1">
      <c r="A4" s="15" t="s">
        <v>8</v>
      </c>
      <c r="B4" s="16">
        <v>3000.0</v>
      </c>
      <c r="C4" s="17">
        <v>4000.0</v>
      </c>
      <c r="D4" s="18">
        <v>3000.0</v>
      </c>
      <c r="E4" s="19">
        <v>3.0</v>
      </c>
      <c r="F4" s="18">
        <f t="shared" si="1"/>
        <v>9000</v>
      </c>
      <c r="G4" s="19">
        <v>0.0</v>
      </c>
      <c r="H4" s="18">
        <v>0.0</v>
      </c>
      <c r="I4" s="20"/>
      <c r="J4" s="20">
        <v>4000.0</v>
      </c>
      <c r="K4" s="21">
        <v>7.0</v>
      </c>
      <c r="L4" s="20">
        <f t="shared" si="2"/>
        <v>28000</v>
      </c>
      <c r="M4" s="21">
        <v>0.0</v>
      </c>
      <c r="N4" s="20">
        <v>0.0</v>
      </c>
      <c r="O4" s="22">
        <v>4000.0</v>
      </c>
      <c r="P4" s="23">
        <v>1.0</v>
      </c>
      <c r="Q4" s="22">
        <f t="shared" si="3"/>
        <v>4000</v>
      </c>
      <c r="R4" s="23">
        <v>0.0</v>
      </c>
      <c r="S4" s="22">
        <f t="shared" si="4"/>
        <v>0</v>
      </c>
      <c r="T4" s="18">
        <v>4000.0</v>
      </c>
      <c r="U4" s="19">
        <v>0.0</v>
      </c>
      <c r="V4" s="18">
        <f t="shared" si="5"/>
        <v>0</v>
      </c>
      <c r="W4" s="19">
        <v>0.0</v>
      </c>
      <c r="X4" s="18">
        <v>0.0</v>
      </c>
      <c r="Y4" s="20">
        <v>4000.0</v>
      </c>
      <c r="Z4" s="21">
        <v>4.0</v>
      </c>
      <c r="AA4" s="20">
        <f t="shared" si="6"/>
        <v>16000</v>
      </c>
      <c r="AB4" s="21">
        <v>0.0</v>
      </c>
      <c r="AC4" s="20">
        <v>0.0</v>
      </c>
      <c r="AD4" s="22">
        <v>4000.0</v>
      </c>
      <c r="AE4" s="23">
        <v>5.0</v>
      </c>
      <c r="AF4" s="22">
        <f t="shared" si="7"/>
        <v>20000</v>
      </c>
      <c r="AG4" s="23">
        <v>0.0</v>
      </c>
      <c r="AH4" s="22">
        <v>0.0</v>
      </c>
      <c r="AI4" s="18">
        <v>4000.0</v>
      </c>
      <c r="AJ4" s="19">
        <v>0.0</v>
      </c>
      <c r="AK4" s="18">
        <f t="shared" si="8"/>
        <v>0</v>
      </c>
      <c r="AL4" s="19">
        <v>0.0</v>
      </c>
      <c r="AM4" s="18">
        <v>0.0</v>
      </c>
      <c r="AN4" s="20">
        <v>4000.0</v>
      </c>
      <c r="AO4" s="21">
        <v>0.0</v>
      </c>
      <c r="AP4" s="20">
        <f t="shared" si="9"/>
        <v>0</v>
      </c>
      <c r="AQ4" s="21">
        <v>0.0</v>
      </c>
      <c r="AR4" s="20">
        <f t="shared" ref="AR4:AR27" si="15">AQ4*AP4</f>
        <v>0</v>
      </c>
      <c r="AS4" s="22">
        <v>4000.0</v>
      </c>
      <c r="AT4" s="23">
        <v>4.0</v>
      </c>
      <c r="AU4" s="22">
        <f t="shared" si="10"/>
        <v>16000</v>
      </c>
      <c r="AV4" s="23">
        <v>0.0</v>
      </c>
      <c r="AW4" s="22">
        <v>0.0</v>
      </c>
      <c r="AX4" s="18">
        <v>4000.0</v>
      </c>
      <c r="AY4" s="19">
        <v>0.0</v>
      </c>
      <c r="AZ4" s="18">
        <f t="shared" si="11"/>
        <v>0</v>
      </c>
      <c r="BA4" s="19">
        <v>0.0</v>
      </c>
      <c r="BB4" s="18">
        <v>0.0</v>
      </c>
      <c r="BC4" s="20">
        <v>4000.0</v>
      </c>
      <c r="BD4" s="21">
        <v>0.0</v>
      </c>
      <c r="BE4" s="20">
        <f t="shared" si="12"/>
        <v>0</v>
      </c>
      <c r="BF4" s="21">
        <v>0.0</v>
      </c>
      <c r="BG4" s="20">
        <v>0.0</v>
      </c>
      <c r="BH4" s="22">
        <v>4000.0</v>
      </c>
      <c r="BI4" s="23">
        <v>0.0</v>
      </c>
      <c r="BJ4" s="22">
        <f t="shared" si="13"/>
        <v>0</v>
      </c>
      <c r="BK4" s="23">
        <v>0.0</v>
      </c>
      <c r="BL4" s="22">
        <v>0.0</v>
      </c>
      <c r="BM4" s="18">
        <v>4000.0</v>
      </c>
      <c r="BN4" s="19">
        <v>0.0</v>
      </c>
      <c r="BO4" s="18">
        <f t="shared" si="14"/>
        <v>0</v>
      </c>
      <c r="BP4" s="19">
        <v>0.0</v>
      </c>
      <c r="BQ4" s="18">
        <v>0.0</v>
      </c>
    </row>
    <row r="5" ht="15.75" customHeight="1">
      <c r="A5" s="15" t="s">
        <v>9</v>
      </c>
      <c r="B5" s="16">
        <v>6000.0</v>
      </c>
      <c r="C5" s="17">
        <v>10000.0</v>
      </c>
      <c r="D5" s="18">
        <v>10000.0</v>
      </c>
      <c r="E5" s="19">
        <v>3.0</v>
      </c>
      <c r="F5" s="18">
        <f t="shared" si="1"/>
        <v>30000</v>
      </c>
      <c r="G5" s="19">
        <v>0.0</v>
      </c>
      <c r="H5" s="18">
        <v>0.0</v>
      </c>
      <c r="I5" s="20"/>
      <c r="J5" s="20">
        <v>10000.0</v>
      </c>
      <c r="K5" s="21">
        <v>1.0</v>
      </c>
      <c r="L5" s="20">
        <f t="shared" si="2"/>
        <v>10000</v>
      </c>
      <c r="M5" s="21">
        <v>0.0</v>
      </c>
      <c r="N5" s="20">
        <v>0.0</v>
      </c>
      <c r="O5" s="22">
        <v>10000.0</v>
      </c>
      <c r="P5" s="23">
        <v>0.0</v>
      </c>
      <c r="Q5" s="22">
        <f t="shared" si="3"/>
        <v>0</v>
      </c>
      <c r="R5" s="23">
        <v>0.0</v>
      </c>
      <c r="S5" s="22">
        <f t="shared" si="4"/>
        <v>0</v>
      </c>
      <c r="T5" s="18">
        <v>10000.0</v>
      </c>
      <c r="U5" s="19">
        <v>0.0</v>
      </c>
      <c r="V5" s="18">
        <f t="shared" si="5"/>
        <v>0</v>
      </c>
      <c r="W5" s="19">
        <v>0.0</v>
      </c>
      <c r="X5" s="18">
        <v>0.0</v>
      </c>
      <c r="Y5" s="20">
        <v>10000.0</v>
      </c>
      <c r="Z5" s="21">
        <v>5.0</v>
      </c>
      <c r="AA5" s="20">
        <f t="shared" si="6"/>
        <v>50000</v>
      </c>
      <c r="AB5" s="21">
        <v>0.0</v>
      </c>
      <c r="AC5" s="20">
        <v>0.0</v>
      </c>
      <c r="AD5" s="22">
        <v>10000.0</v>
      </c>
      <c r="AE5" s="23">
        <v>6.0</v>
      </c>
      <c r="AF5" s="22">
        <f t="shared" si="7"/>
        <v>60000</v>
      </c>
      <c r="AG5" s="23">
        <v>0.0</v>
      </c>
      <c r="AH5" s="22">
        <v>0.0</v>
      </c>
      <c r="AI5" s="18">
        <v>10000.0</v>
      </c>
      <c r="AJ5" s="19">
        <v>0.0</v>
      </c>
      <c r="AK5" s="18">
        <f t="shared" si="8"/>
        <v>0</v>
      </c>
      <c r="AL5" s="19">
        <v>0.0</v>
      </c>
      <c r="AM5" s="18">
        <v>0.0</v>
      </c>
      <c r="AN5" s="20">
        <v>10000.0</v>
      </c>
      <c r="AO5" s="21">
        <v>0.0</v>
      </c>
      <c r="AP5" s="20">
        <f t="shared" si="9"/>
        <v>0</v>
      </c>
      <c r="AQ5" s="21">
        <v>0.0</v>
      </c>
      <c r="AR5" s="20">
        <f t="shared" si="15"/>
        <v>0</v>
      </c>
      <c r="AS5" s="22">
        <v>10000.0</v>
      </c>
      <c r="AT5" s="23">
        <v>4.0</v>
      </c>
      <c r="AU5" s="22">
        <f t="shared" si="10"/>
        <v>40000</v>
      </c>
      <c r="AV5" s="23">
        <v>0.0</v>
      </c>
      <c r="AW5" s="22">
        <v>0.0</v>
      </c>
      <c r="AX5" s="18">
        <v>10000.0</v>
      </c>
      <c r="AY5" s="19">
        <v>4.0</v>
      </c>
      <c r="AZ5" s="18">
        <f t="shared" si="11"/>
        <v>40000</v>
      </c>
      <c r="BA5" s="19">
        <v>0.0</v>
      </c>
      <c r="BB5" s="18">
        <v>0.0</v>
      </c>
      <c r="BC5" s="20">
        <v>10000.0</v>
      </c>
      <c r="BD5" s="21">
        <v>0.0</v>
      </c>
      <c r="BE5" s="20">
        <f t="shared" si="12"/>
        <v>0</v>
      </c>
      <c r="BF5" s="21">
        <v>0.0</v>
      </c>
      <c r="BG5" s="20">
        <v>0.0</v>
      </c>
      <c r="BH5" s="22">
        <v>10000.0</v>
      </c>
      <c r="BI5" s="23">
        <v>2.0</v>
      </c>
      <c r="BJ5" s="22">
        <f t="shared" si="13"/>
        <v>20000</v>
      </c>
      <c r="BK5" s="23">
        <v>0.0</v>
      </c>
      <c r="BL5" s="22">
        <f>BK5*8000</f>
        <v>0</v>
      </c>
      <c r="BM5" s="18">
        <v>10000.0</v>
      </c>
      <c r="BN5" s="19">
        <v>0.0</v>
      </c>
      <c r="BO5" s="18">
        <f t="shared" si="14"/>
        <v>0</v>
      </c>
      <c r="BP5" s="19">
        <v>12.0</v>
      </c>
      <c r="BQ5" s="18">
        <f>BP5*8000</f>
        <v>96000</v>
      </c>
    </row>
    <row r="6" ht="15.75" customHeight="1">
      <c r="A6" s="15" t="s">
        <v>10</v>
      </c>
      <c r="B6" s="16">
        <v>7000.0</v>
      </c>
      <c r="C6" s="17">
        <v>10000.0</v>
      </c>
      <c r="D6" s="18">
        <v>10000.0</v>
      </c>
      <c r="E6" s="19">
        <v>7.0</v>
      </c>
      <c r="F6" s="18">
        <f t="shared" si="1"/>
        <v>70000</v>
      </c>
      <c r="G6" s="19">
        <v>0.0</v>
      </c>
      <c r="H6" s="18">
        <v>0.0</v>
      </c>
      <c r="I6" s="20"/>
      <c r="J6" s="20">
        <v>10000.0</v>
      </c>
      <c r="K6" s="21">
        <v>1.0</v>
      </c>
      <c r="L6" s="20">
        <f t="shared" si="2"/>
        <v>10000</v>
      </c>
      <c r="M6" s="21">
        <v>0.0</v>
      </c>
      <c r="N6" s="20">
        <v>0.0</v>
      </c>
      <c r="O6" s="22">
        <v>10000.0</v>
      </c>
      <c r="P6" s="23">
        <v>0.0</v>
      </c>
      <c r="Q6" s="22">
        <f t="shared" si="3"/>
        <v>0</v>
      </c>
      <c r="R6" s="23">
        <v>0.0</v>
      </c>
      <c r="S6" s="22">
        <f t="shared" si="4"/>
        <v>0</v>
      </c>
      <c r="T6" s="18">
        <v>10000.0</v>
      </c>
      <c r="U6" s="19">
        <v>0.0</v>
      </c>
      <c r="V6" s="18">
        <f t="shared" si="5"/>
        <v>0</v>
      </c>
      <c r="W6" s="19">
        <v>0.0</v>
      </c>
      <c r="X6" s="18">
        <v>0.0</v>
      </c>
      <c r="Y6" s="20">
        <v>10000.0</v>
      </c>
      <c r="Z6" s="21">
        <v>0.0</v>
      </c>
      <c r="AA6" s="20">
        <f t="shared" si="6"/>
        <v>0</v>
      </c>
      <c r="AB6" s="21">
        <v>0.0</v>
      </c>
      <c r="AC6" s="20">
        <v>0.0</v>
      </c>
      <c r="AD6" s="22">
        <v>10000.0</v>
      </c>
      <c r="AE6" s="23">
        <v>1.0</v>
      </c>
      <c r="AF6" s="22">
        <f t="shared" si="7"/>
        <v>10000</v>
      </c>
      <c r="AG6" s="23">
        <v>0.0</v>
      </c>
      <c r="AH6" s="22">
        <v>0.0</v>
      </c>
      <c r="AI6" s="18">
        <v>10000.0</v>
      </c>
      <c r="AJ6" s="19">
        <v>0.0</v>
      </c>
      <c r="AK6" s="18">
        <f t="shared" si="8"/>
        <v>0</v>
      </c>
      <c r="AL6" s="19">
        <v>0.0</v>
      </c>
      <c r="AM6" s="18">
        <v>0.0</v>
      </c>
      <c r="AN6" s="20">
        <v>10000.0</v>
      </c>
      <c r="AO6" s="21">
        <v>0.0</v>
      </c>
      <c r="AP6" s="20">
        <f t="shared" si="9"/>
        <v>0</v>
      </c>
      <c r="AQ6" s="21">
        <v>0.0</v>
      </c>
      <c r="AR6" s="20">
        <f t="shared" si="15"/>
        <v>0</v>
      </c>
      <c r="AS6" s="22">
        <v>10000.0</v>
      </c>
      <c r="AT6" s="23">
        <v>0.0</v>
      </c>
      <c r="AU6" s="22">
        <f t="shared" si="10"/>
        <v>0</v>
      </c>
      <c r="AV6" s="23">
        <v>0.0</v>
      </c>
      <c r="AW6" s="22">
        <v>0.0</v>
      </c>
      <c r="AX6" s="18">
        <v>10000.0</v>
      </c>
      <c r="AY6" s="19">
        <v>0.0</v>
      </c>
      <c r="AZ6" s="18">
        <f t="shared" si="11"/>
        <v>0</v>
      </c>
      <c r="BA6" s="19">
        <v>0.0</v>
      </c>
      <c r="BB6" s="18">
        <v>0.0</v>
      </c>
      <c r="BC6" s="20">
        <v>10000.0</v>
      </c>
      <c r="BD6" s="21">
        <v>0.0</v>
      </c>
      <c r="BE6" s="20">
        <f t="shared" si="12"/>
        <v>0</v>
      </c>
      <c r="BF6" s="21">
        <v>0.0</v>
      </c>
      <c r="BG6" s="20">
        <v>0.0</v>
      </c>
      <c r="BH6" s="22">
        <v>10000.0</v>
      </c>
      <c r="BI6" s="23">
        <v>0.0</v>
      </c>
      <c r="BJ6" s="22">
        <f t="shared" si="13"/>
        <v>0</v>
      </c>
      <c r="BK6" s="23">
        <v>0.0</v>
      </c>
      <c r="BL6" s="22">
        <v>0.0</v>
      </c>
      <c r="BM6" s="18">
        <v>10000.0</v>
      </c>
      <c r="BN6" s="19">
        <v>0.0</v>
      </c>
      <c r="BO6" s="18">
        <f t="shared" si="14"/>
        <v>0</v>
      </c>
      <c r="BP6" s="19">
        <v>0.0</v>
      </c>
      <c r="BQ6" s="18">
        <v>0.0</v>
      </c>
    </row>
    <row r="7" ht="15.75" customHeight="1">
      <c r="A7" s="15" t="s">
        <v>11</v>
      </c>
      <c r="B7" s="16">
        <v>5000.0</v>
      </c>
      <c r="C7" s="17">
        <v>10000.0</v>
      </c>
      <c r="D7" s="18">
        <v>10000.0</v>
      </c>
      <c r="E7" s="19">
        <v>7.0</v>
      </c>
      <c r="F7" s="18">
        <f t="shared" si="1"/>
        <v>70000</v>
      </c>
      <c r="G7" s="19">
        <v>0.0</v>
      </c>
      <c r="H7" s="18">
        <v>0.0</v>
      </c>
      <c r="I7" s="20"/>
      <c r="J7" s="20">
        <v>10000.0</v>
      </c>
      <c r="K7" s="21">
        <v>1.0</v>
      </c>
      <c r="L7" s="20">
        <f t="shared" si="2"/>
        <v>10000</v>
      </c>
      <c r="M7" s="21">
        <v>0.0</v>
      </c>
      <c r="N7" s="20">
        <v>0.0</v>
      </c>
      <c r="O7" s="22">
        <v>10000.0</v>
      </c>
      <c r="P7" s="23">
        <v>0.0</v>
      </c>
      <c r="Q7" s="22">
        <f t="shared" si="3"/>
        <v>0</v>
      </c>
      <c r="R7" s="23">
        <v>0.0</v>
      </c>
      <c r="S7" s="22">
        <f t="shared" si="4"/>
        <v>0</v>
      </c>
      <c r="T7" s="18">
        <v>10000.0</v>
      </c>
      <c r="U7" s="19">
        <v>0.0</v>
      </c>
      <c r="V7" s="18">
        <f t="shared" si="5"/>
        <v>0</v>
      </c>
      <c r="W7" s="19">
        <v>0.0</v>
      </c>
      <c r="X7" s="18">
        <v>0.0</v>
      </c>
      <c r="Y7" s="20">
        <v>10000.0</v>
      </c>
      <c r="Z7" s="21">
        <v>4.0</v>
      </c>
      <c r="AA7" s="20">
        <f t="shared" si="6"/>
        <v>40000</v>
      </c>
      <c r="AB7" s="21">
        <v>0.0</v>
      </c>
      <c r="AC7" s="20">
        <v>0.0</v>
      </c>
      <c r="AD7" s="22">
        <v>10000.0</v>
      </c>
      <c r="AE7" s="23">
        <v>4.0</v>
      </c>
      <c r="AF7" s="22">
        <f t="shared" si="7"/>
        <v>40000</v>
      </c>
      <c r="AG7" s="23">
        <v>0.0</v>
      </c>
      <c r="AH7" s="22">
        <v>0.0</v>
      </c>
      <c r="AI7" s="18">
        <v>10000.0</v>
      </c>
      <c r="AJ7" s="19">
        <v>0.0</v>
      </c>
      <c r="AK7" s="18">
        <f t="shared" si="8"/>
        <v>0</v>
      </c>
      <c r="AL7" s="19">
        <v>0.0</v>
      </c>
      <c r="AM7" s="18">
        <v>0.0</v>
      </c>
      <c r="AN7" s="20">
        <v>10000.0</v>
      </c>
      <c r="AO7" s="21">
        <v>0.0</v>
      </c>
      <c r="AP7" s="20">
        <f t="shared" si="9"/>
        <v>0</v>
      </c>
      <c r="AQ7" s="21">
        <v>0.0</v>
      </c>
      <c r="AR7" s="20">
        <f t="shared" si="15"/>
        <v>0</v>
      </c>
      <c r="AS7" s="22">
        <v>10000.0</v>
      </c>
      <c r="AT7" s="23">
        <v>3.0</v>
      </c>
      <c r="AU7" s="22">
        <f t="shared" si="10"/>
        <v>30000</v>
      </c>
      <c r="AV7" s="23">
        <v>0.0</v>
      </c>
      <c r="AW7" s="22">
        <v>0.0</v>
      </c>
      <c r="AX7" s="18">
        <v>10000.0</v>
      </c>
      <c r="AY7" s="19">
        <v>0.0</v>
      </c>
      <c r="AZ7" s="18">
        <f t="shared" si="11"/>
        <v>0</v>
      </c>
      <c r="BA7" s="19">
        <v>0.0</v>
      </c>
      <c r="BB7" s="18">
        <v>0.0</v>
      </c>
      <c r="BC7" s="20">
        <v>10000.0</v>
      </c>
      <c r="BD7" s="21">
        <v>0.0</v>
      </c>
      <c r="BE7" s="20">
        <f t="shared" si="12"/>
        <v>0</v>
      </c>
      <c r="BF7" s="21">
        <v>0.0</v>
      </c>
      <c r="BG7" s="20">
        <v>0.0</v>
      </c>
      <c r="BH7" s="22">
        <v>10000.0</v>
      </c>
      <c r="BI7" s="23">
        <v>0.0</v>
      </c>
      <c r="BJ7" s="22">
        <f t="shared" si="13"/>
        <v>0</v>
      </c>
      <c r="BK7" s="23">
        <v>0.0</v>
      </c>
      <c r="BL7" s="22">
        <v>0.0</v>
      </c>
      <c r="BM7" s="18">
        <v>10000.0</v>
      </c>
      <c r="BN7" s="19">
        <v>0.0</v>
      </c>
      <c r="BO7" s="18">
        <f t="shared" si="14"/>
        <v>0</v>
      </c>
      <c r="BP7" s="19">
        <v>0.0</v>
      </c>
      <c r="BQ7" s="18">
        <v>0.0</v>
      </c>
    </row>
    <row r="8" ht="15.75" customHeight="1">
      <c r="A8" s="15" t="s">
        <v>12</v>
      </c>
      <c r="B8" s="16">
        <v>8000.0</v>
      </c>
      <c r="C8" s="17">
        <v>12000.0</v>
      </c>
      <c r="D8" s="18">
        <v>15000.0</v>
      </c>
      <c r="E8" s="19">
        <v>1.0</v>
      </c>
      <c r="F8" s="18">
        <f t="shared" si="1"/>
        <v>15000</v>
      </c>
      <c r="G8" s="19">
        <v>0.0</v>
      </c>
      <c r="H8" s="18">
        <v>0.0</v>
      </c>
      <c r="I8" s="20"/>
      <c r="J8" s="20">
        <v>12000.0</v>
      </c>
      <c r="K8" s="21">
        <v>2.0</v>
      </c>
      <c r="L8" s="20">
        <f t="shared" si="2"/>
        <v>24000</v>
      </c>
      <c r="M8" s="21">
        <v>0.0</v>
      </c>
      <c r="N8" s="20">
        <v>0.0</v>
      </c>
      <c r="O8" s="22">
        <v>12000.0</v>
      </c>
      <c r="P8" s="23">
        <v>0.0</v>
      </c>
      <c r="Q8" s="22">
        <f t="shared" si="3"/>
        <v>0</v>
      </c>
      <c r="R8" s="23">
        <v>0.0</v>
      </c>
      <c r="S8" s="22">
        <f t="shared" si="4"/>
        <v>0</v>
      </c>
      <c r="T8" s="18">
        <v>12000.0</v>
      </c>
      <c r="U8" s="19">
        <v>0.0</v>
      </c>
      <c r="V8" s="18">
        <f t="shared" si="5"/>
        <v>0</v>
      </c>
      <c r="W8" s="19">
        <v>0.0</v>
      </c>
      <c r="X8" s="18">
        <v>0.0</v>
      </c>
      <c r="Y8" s="20">
        <v>12000.0</v>
      </c>
      <c r="Z8" s="21">
        <v>0.0</v>
      </c>
      <c r="AA8" s="20">
        <f t="shared" si="6"/>
        <v>0</v>
      </c>
      <c r="AB8" s="21">
        <v>0.0</v>
      </c>
      <c r="AC8" s="20">
        <v>0.0</v>
      </c>
      <c r="AD8" s="22">
        <v>12000.0</v>
      </c>
      <c r="AE8" s="23">
        <v>0.0</v>
      </c>
      <c r="AF8" s="22">
        <f t="shared" si="7"/>
        <v>0</v>
      </c>
      <c r="AG8" s="23">
        <v>0.0</v>
      </c>
      <c r="AH8" s="22">
        <v>0.0</v>
      </c>
      <c r="AI8" s="18">
        <v>12000.0</v>
      </c>
      <c r="AJ8" s="19">
        <v>0.0</v>
      </c>
      <c r="AK8" s="18">
        <f t="shared" si="8"/>
        <v>0</v>
      </c>
      <c r="AL8" s="19">
        <v>0.0</v>
      </c>
      <c r="AM8" s="18">
        <v>0.0</v>
      </c>
      <c r="AN8" s="20">
        <v>12000.0</v>
      </c>
      <c r="AO8" s="21">
        <v>0.0</v>
      </c>
      <c r="AP8" s="20">
        <f t="shared" si="9"/>
        <v>0</v>
      </c>
      <c r="AQ8" s="21">
        <v>0.0</v>
      </c>
      <c r="AR8" s="20">
        <f t="shared" si="15"/>
        <v>0</v>
      </c>
      <c r="AS8" s="22">
        <v>12000.0</v>
      </c>
      <c r="AT8" s="23">
        <v>1.0</v>
      </c>
      <c r="AU8" s="22">
        <f t="shared" si="10"/>
        <v>12000</v>
      </c>
      <c r="AV8" s="23">
        <v>0.0</v>
      </c>
      <c r="AW8" s="22">
        <v>0.0</v>
      </c>
      <c r="AX8" s="18">
        <v>12000.0</v>
      </c>
      <c r="AY8" s="19">
        <v>0.0</v>
      </c>
      <c r="AZ8" s="18">
        <f t="shared" si="11"/>
        <v>0</v>
      </c>
      <c r="BA8" s="19">
        <v>0.0</v>
      </c>
      <c r="BB8" s="18">
        <v>0.0</v>
      </c>
      <c r="BC8" s="20">
        <v>12000.0</v>
      </c>
      <c r="BD8" s="21">
        <v>0.0</v>
      </c>
      <c r="BE8" s="20">
        <f t="shared" si="12"/>
        <v>0</v>
      </c>
      <c r="BF8" s="21">
        <v>0.0</v>
      </c>
      <c r="BG8" s="20">
        <v>0.0</v>
      </c>
      <c r="BH8" s="22">
        <v>12000.0</v>
      </c>
      <c r="BI8" s="23">
        <v>0.0</v>
      </c>
      <c r="BJ8" s="22">
        <f t="shared" si="13"/>
        <v>0</v>
      </c>
      <c r="BK8" s="23">
        <v>0.0</v>
      </c>
      <c r="BL8" s="22">
        <v>0.0</v>
      </c>
      <c r="BM8" s="18">
        <v>12000.0</v>
      </c>
      <c r="BN8" s="19">
        <v>0.0</v>
      </c>
      <c r="BO8" s="18">
        <f t="shared" si="14"/>
        <v>0</v>
      </c>
      <c r="BP8" s="19">
        <v>0.0</v>
      </c>
      <c r="BQ8" s="18">
        <v>0.0</v>
      </c>
    </row>
    <row r="9" ht="15.75" customHeight="1">
      <c r="A9" s="15" t="s">
        <v>13</v>
      </c>
      <c r="B9" s="16">
        <v>6000.0</v>
      </c>
      <c r="C9" s="17">
        <v>10000.0</v>
      </c>
      <c r="D9" s="18">
        <v>10000.0</v>
      </c>
      <c r="E9" s="19">
        <v>1.0</v>
      </c>
      <c r="F9" s="18">
        <f t="shared" si="1"/>
        <v>10000</v>
      </c>
      <c r="G9" s="19">
        <v>0.0</v>
      </c>
      <c r="H9" s="18">
        <v>0.0</v>
      </c>
      <c r="I9" s="20"/>
      <c r="J9" s="20">
        <v>10000.0</v>
      </c>
      <c r="K9" s="21">
        <v>0.0</v>
      </c>
      <c r="L9" s="20">
        <f t="shared" si="2"/>
        <v>0</v>
      </c>
      <c r="M9" s="21">
        <v>0.0</v>
      </c>
      <c r="N9" s="20">
        <v>0.0</v>
      </c>
      <c r="O9" s="22">
        <v>10000.0</v>
      </c>
      <c r="P9" s="23">
        <v>1.0</v>
      </c>
      <c r="Q9" s="22">
        <f t="shared" si="3"/>
        <v>10000</v>
      </c>
      <c r="R9" s="23">
        <v>0.0</v>
      </c>
      <c r="S9" s="22">
        <f t="shared" si="4"/>
        <v>0</v>
      </c>
      <c r="T9" s="18">
        <v>10000.0</v>
      </c>
      <c r="U9" s="19">
        <v>0.0</v>
      </c>
      <c r="V9" s="18">
        <f t="shared" si="5"/>
        <v>0</v>
      </c>
      <c r="W9" s="19">
        <v>0.0</v>
      </c>
      <c r="X9" s="18">
        <v>0.0</v>
      </c>
      <c r="Y9" s="20">
        <v>10000.0</v>
      </c>
      <c r="Z9" s="21">
        <v>0.0</v>
      </c>
      <c r="AA9" s="20">
        <f t="shared" si="6"/>
        <v>0</v>
      </c>
      <c r="AB9" s="21">
        <v>0.0</v>
      </c>
      <c r="AC9" s="20">
        <v>0.0</v>
      </c>
      <c r="AD9" s="22">
        <v>10000.0</v>
      </c>
      <c r="AE9" s="23">
        <v>1.0</v>
      </c>
      <c r="AF9" s="22">
        <f t="shared" si="7"/>
        <v>10000</v>
      </c>
      <c r="AG9" s="23">
        <v>0.0</v>
      </c>
      <c r="AH9" s="22">
        <v>0.0</v>
      </c>
      <c r="AI9" s="18">
        <v>10000.0</v>
      </c>
      <c r="AJ9" s="19">
        <v>2.0</v>
      </c>
      <c r="AK9" s="18">
        <f t="shared" si="8"/>
        <v>20000</v>
      </c>
      <c r="AL9" s="19">
        <v>0.0</v>
      </c>
      <c r="AM9" s="18">
        <v>0.0</v>
      </c>
      <c r="AN9" s="20">
        <v>10000.0</v>
      </c>
      <c r="AO9" s="21">
        <v>0.0</v>
      </c>
      <c r="AP9" s="20">
        <f t="shared" si="9"/>
        <v>0</v>
      </c>
      <c r="AQ9" s="21">
        <v>0.0</v>
      </c>
      <c r="AR9" s="20">
        <f t="shared" si="15"/>
        <v>0</v>
      </c>
      <c r="AS9" s="22">
        <v>10000.0</v>
      </c>
      <c r="AT9" s="23">
        <v>9.0</v>
      </c>
      <c r="AU9" s="22">
        <f t="shared" si="10"/>
        <v>90000</v>
      </c>
      <c r="AV9" s="23">
        <v>0.0</v>
      </c>
      <c r="AW9" s="22">
        <v>0.0</v>
      </c>
      <c r="AX9" s="18">
        <v>10000.0</v>
      </c>
      <c r="AY9" s="19">
        <v>0.0</v>
      </c>
      <c r="AZ9" s="18">
        <f t="shared" si="11"/>
        <v>0</v>
      </c>
      <c r="BA9" s="19">
        <v>0.0</v>
      </c>
      <c r="BB9" s="18">
        <v>0.0</v>
      </c>
      <c r="BC9" s="20">
        <v>10000.0</v>
      </c>
      <c r="BD9" s="21">
        <v>0.0</v>
      </c>
      <c r="BE9" s="20">
        <f t="shared" si="12"/>
        <v>0</v>
      </c>
      <c r="BF9" s="21">
        <v>0.0</v>
      </c>
      <c r="BG9" s="20">
        <v>0.0</v>
      </c>
      <c r="BH9" s="22">
        <v>10000.0</v>
      </c>
      <c r="BI9" s="23">
        <v>2.0</v>
      </c>
      <c r="BJ9" s="22">
        <f t="shared" si="13"/>
        <v>20000</v>
      </c>
      <c r="BK9" s="23">
        <v>0.0</v>
      </c>
      <c r="BL9" s="22">
        <v>0.0</v>
      </c>
      <c r="BM9" s="18">
        <v>10000.0</v>
      </c>
      <c r="BN9" s="19">
        <v>0.0</v>
      </c>
      <c r="BO9" s="18">
        <f t="shared" si="14"/>
        <v>0</v>
      </c>
      <c r="BP9" s="19">
        <v>0.0</v>
      </c>
      <c r="BQ9" s="18">
        <v>0.0</v>
      </c>
    </row>
    <row r="10" ht="15.75" customHeight="1">
      <c r="A10" s="15" t="s">
        <v>14</v>
      </c>
      <c r="B10" s="16">
        <v>10000.0</v>
      </c>
      <c r="C10" s="17">
        <v>15000.0</v>
      </c>
      <c r="D10" s="18">
        <v>15000.0</v>
      </c>
      <c r="E10" s="19">
        <v>2.0</v>
      </c>
      <c r="F10" s="18">
        <f t="shared" si="1"/>
        <v>30000</v>
      </c>
      <c r="G10" s="19">
        <v>0.0</v>
      </c>
      <c r="H10" s="18">
        <v>0.0</v>
      </c>
      <c r="I10" s="20"/>
      <c r="J10" s="20">
        <v>15000.0</v>
      </c>
      <c r="K10" s="21">
        <v>0.0</v>
      </c>
      <c r="L10" s="20">
        <f t="shared" si="2"/>
        <v>0</v>
      </c>
      <c r="M10" s="21">
        <v>0.0</v>
      </c>
      <c r="N10" s="20">
        <v>0.0</v>
      </c>
      <c r="O10" s="22">
        <v>15000.0</v>
      </c>
      <c r="P10" s="23">
        <v>0.0</v>
      </c>
      <c r="Q10" s="22">
        <f t="shared" si="3"/>
        <v>0</v>
      </c>
      <c r="R10" s="23">
        <v>0.0</v>
      </c>
      <c r="S10" s="22">
        <f t="shared" si="4"/>
        <v>0</v>
      </c>
      <c r="T10" s="18">
        <v>15000.0</v>
      </c>
      <c r="U10" s="19">
        <v>0.0</v>
      </c>
      <c r="V10" s="18">
        <f t="shared" si="5"/>
        <v>0</v>
      </c>
      <c r="W10" s="19">
        <v>0.0</v>
      </c>
      <c r="X10" s="18">
        <v>0.0</v>
      </c>
      <c r="Y10" s="20">
        <v>15000.0</v>
      </c>
      <c r="Z10" s="21">
        <v>0.0</v>
      </c>
      <c r="AA10" s="20">
        <f t="shared" si="6"/>
        <v>0</v>
      </c>
      <c r="AB10" s="21">
        <v>0.0</v>
      </c>
      <c r="AC10" s="20">
        <v>0.0</v>
      </c>
      <c r="AD10" s="22">
        <v>15000.0</v>
      </c>
      <c r="AE10" s="23">
        <v>0.0</v>
      </c>
      <c r="AF10" s="22">
        <f t="shared" si="7"/>
        <v>0</v>
      </c>
      <c r="AG10" s="23">
        <v>0.0</v>
      </c>
      <c r="AH10" s="22">
        <v>0.0</v>
      </c>
      <c r="AI10" s="18">
        <v>15000.0</v>
      </c>
      <c r="AJ10" s="19">
        <v>0.0</v>
      </c>
      <c r="AK10" s="18">
        <f t="shared" si="8"/>
        <v>0</v>
      </c>
      <c r="AL10" s="19">
        <v>0.0</v>
      </c>
      <c r="AM10" s="18">
        <v>0.0</v>
      </c>
      <c r="AN10" s="20">
        <v>15000.0</v>
      </c>
      <c r="AO10" s="21">
        <v>0.0</v>
      </c>
      <c r="AP10" s="20">
        <f t="shared" si="9"/>
        <v>0</v>
      </c>
      <c r="AQ10" s="21">
        <v>0.0</v>
      </c>
      <c r="AR10" s="20">
        <f t="shared" si="15"/>
        <v>0</v>
      </c>
      <c r="AS10" s="22">
        <v>15000.0</v>
      </c>
      <c r="AT10" s="23">
        <v>0.0</v>
      </c>
      <c r="AU10" s="22">
        <f t="shared" si="10"/>
        <v>0</v>
      </c>
      <c r="AV10" s="23">
        <v>0.0</v>
      </c>
      <c r="AW10" s="22">
        <v>0.0</v>
      </c>
      <c r="AX10" s="18">
        <v>15000.0</v>
      </c>
      <c r="AY10" s="19">
        <v>0.0</v>
      </c>
      <c r="AZ10" s="18">
        <f t="shared" si="11"/>
        <v>0</v>
      </c>
      <c r="BA10" s="19">
        <v>0.0</v>
      </c>
      <c r="BB10" s="18">
        <v>0.0</v>
      </c>
      <c r="BC10" s="20">
        <v>15000.0</v>
      </c>
      <c r="BD10" s="21">
        <v>0.0</v>
      </c>
      <c r="BE10" s="20">
        <f t="shared" si="12"/>
        <v>0</v>
      </c>
      <c r="BF10" s="21">
        <v>0.0</v>
      </c>
      <c r="BG10" s="20">
        <v>0.0</v>
      </c>
      <c r="BH10" s="22">
        <v>15000.0</v>
      </c>
      <c r="BI10" s="23">
        <v>0.0</v>
      </c>
      <c r="BJ10" s="22">
        <f t="shared" si="13"/>
        <v>0</v>
      </c>
      <c r="BK10" s="23">
        <v>0.0</v>
      </c>
      <c r="BL10" s="22">
        <v>0.0</v>
      </c>
      <c r="BM10" s="18">
        <v>15000.0</v>
      </c>
      <c r="BN10" s="19">
        <v>0.0</v>
      </c>
      <c r="BO10" s="18">
        <f t="shared" si="14"/>
        <v>0</v>
      </c>
      <c r="BP10" s="19">
        <v>0.0</v>
      </c>
      <c r="BQ10" s="18">
        <v>0.0</v>
      </c>
    </row>
    <row r="11" ht="15.75" customHeight="1">
      <c r="A11" s="15" t="s">
        <v>15</v>
      </c>
      <c r="B11" s="16">
        <v>1500.0</v>
      </c>
      <c r="C11" s="17">
        <v>2500.0</v>
      </c>
      <c r="D11" s="18">
        <v>2500.0</v>
      </c>
      <c r="E11" s="19">
        <v>1.0</v>
      </c>
      <c r="F11" s="18">
        <f t="shared" si="1"/>
        <v>2500</v>
      </c>
      <c r="G11" s="19">
        <v>1.0</v>
      </c>
      <c r="H11" s="18">
        <v>1500.0</v>
      </c>
      <c r="I11" s="20"/>
      <c r="J11" s="20">
        <v>2500.0</v>
      </c>
      <c r="K11" s="21">
        <v>2.0</v>
      </c>
      <c r="L11" s="20">
        <f t="shared" si="2"/>
        <v>5000</v>
      </c>
      <c r="M11" s="21">
        <v>0.0</v>
      </c>
      <c r="N11" s="20">
        <v>0.0</v>
      </c>
      <c r="O11" s="22">
        <v>2500.0</v>
      </c>
      <c r="P11" s="23">
        <v>0.0</v>
      </c>
      <c r="Q11" s="22">
        <f t="shared" si="3"/>
        <v>0</v>
      </c>
      <c r="R11" s="23">
        <v>0.0</v>
      </c>
      <c r="S11" s="22">
        <f t="shared" si="4"/>
        <v>0</v>
      </c>
      <c r="T11" s="18">
        <v>2500.0</v>
      </c>
      <c r="U11" s="19">
        <v>0.0</v>
      </c>
      <c r="V11" s="18">
        <f t="shared" si="5"/>
        <v>0</v>
      </c>
      <c r="W11" s="19">
        <v>0.0</v>
      </c>
      <c r="X11" s="18">
        <v>0.0</v>
      </c>
      <c r="Y11" s="20">
        <v>2500.0</v>
      </c>
      <c r="Z11" s="21">
        <v>0.0</v>
      </c>
      <c r="AA11" s="20">
        <f t="shared" si="6"/>
        <v>0</v>
      </c>
      <c r="AB11" s="21">
        <v>0.0</v>
      </c>
      <c r="AC11" s="20">
        <v>0.0</v>
      </c>
      <c r="AD11" s="22">
        <v>2500.0</v>
      </c>
      <c r="AE11" s="23">
        <v>0.0</v>
      </c>
      <c r="AF11" s="22">
        <f t="shared" si="7"/>
        <v>0</v>
      </c>
      <c r="AG11" s="23">
        <v>1.0</v>
      </c>
      <c r="AH11" s="22">
        <v>2000.0</v>
      </c>
      <c r="AI11" s="18">
        <v>2500.0</v>
      </c>
      <c r="AJ11" s="19">
        <v>0.0</v>
      </c>
      <c r="AK11" s="18">
        <f t="shared" si="8"/>
        <v>0</v>
      </c>
      <c r="AL11" s="19">
        <v>1.0</v>
      </c>
      <c r="AM11" s="18">
        <v>2000.0</v>
      </c>
      <c r="AN11" s="20">
        <v>2500.0</v>
      </c>
      <c r="AO11" s="21">
        <v>0.0</v>
      </c>
      <c r="AP11" s="20">
        <f t="shared" si="9"/>
        <v>0</v>
      </c>
      <c r="AQ11" s="21">
        <v>0.0</v>
      </c>
      <c r="AR11" s="20">
        <f t="shared" si="15"/>
        <v>0</v>
      </c>
      <c r="AS11" s="22">
        <v>2500.0</v>
      </c>
      <c r="AT11" s="23">
        <v>4.0</v>
      </c>
      <c r="AU11" s="22">
        <f t="shared" si="10"/>
        <v>10000</v>
      </c>
      <c r="AV11" s="23">
        <v>1.0</v>
      </c>
      <c r="AW11" s="22">
        <v>3000.0</v>
      </c>
      <c r="AX11" s="18">
        <v>2500.0</v>
      </c>
      <c r="AY11" s="19">
        <v>0.0</v>
      </c>
      <c r="AZ11" s="18">
        <f t="shared" si="11"/>
        <v>0</v>
      </c>
      <c r="BA11" s="19">
        <v>0.0</v>
      </c>
      <c r="BB11" s="18">
        <v>0.0</v>
      </c>
      <c r="BC11" s="20">
        <v>2500.0</v>
      </c>
      <c r="BD11" s="21">
        <v>0.0</v>
      </c>
      <c r="BE11" s="20">
        <f t="shared" si="12"/>
        <v>0</v>
      </c>
      <c r="BF11" s="21">
        <v>0.0</v>
      </c>
      <c r="BG11" s="20">
        <v>0.0</v>
      </c>
      <c r="BH11" s="22">
        <v>2500.0</v>
      </c>
      <c r="BI11" s="23">
        <v>0.0</v>
      </c>
      <c r="BJ11" s="22">
        <f t="shared" si="13"/>
        <v>0</v>
      </c>
      <c r="BK11" s="23">
        <v>0.0</v>
      </c>
      <c r="BL11" s="22">
        <v>0.0</v>
      </c>
      <c r="BM11" s="18">
        <v>2500.0</v>
      </c>
      <c r="BN11" s="19">
        <v>0.0</v>
      </c>
      <c r="BO11" s="18">
        <f t="shared" si="14"/>
        <v>0</v>
      </c>
      <c r="BP11" s="19">
        <v>0.0</v>
      </c>
      <c r="BQ11" s="18">
        <v>0.0</v>
      </c>
    </row>
    <row r="12" ht="15.75" customHeight="1">
      <c r="A12" s="15" t="s">
        <v>16</v>
      </c>
      <c r="B12" s="16">
        <v>1500.0</v>
      </c>
      <c r="C12" s="17">
        <v>2500.0</v>
      </c>
      <c r="D12" s="18">
        <v>2500.0</v>
      </c>
      <c r="E12" s="19">
        <v>0.0</v>
      </c>
      <c r="F12" s="18">
        <f t="shared" si="1"/>
        <v>0</v>
      </c>
      <c r="G12" s="19">
        <v>1.0</v>
      </c>
      <c r="H12" s="18">
        <v>1000.0</v>
      </c>
      <c r="I12" s="20"/>
      <c r="J12" s="20">
        <v>2500.0</v>
      </c>
      <c r="K12" s="21">
        <v>1.0</v>
      </c>
      <c r="L12" s="20">
        <f t="shared" si="2"/>
        <v>2500</v>
      </c>
      <c r="M12" s="21">
        <v>0.0</v>
      </c>
      <c r="N12" s="20">
        <v>0.0</v>
      </c>
      <c r="O12" s="22">
        <v>2500.0</v>
      </c>
      <c r="P12" s="23">
        <v>0.0</v>
      </c>
      <c r="Q12" s="22">
        <f t="shared" si="3"/>
        <v>0</v>
      </c>
      <c r="R12" s="23">
        <v>0.0</v>
      </c>
      <c r="S12" s="22">
        <f t="shared" si="4"/>
        <v>0</v>
      </c>
      <c r="T12" s="18">
        <v>2500.0</v>
      </c>
      <c r="U12" s="19">
        <v>0.0</v>
      </c>
      <c r="V12" s="18">
        <f t="shared" si="5"/>
        <v>0</v>
      </c>
      <c r="W12" s="19">
        <v>0.0</v>
      </c>
      <c r="X12" s="18">
        <v>0.0</v>
      </c>
      <c r="Y12" s="20">
        <v>2500.0</v>
      </c>
      <c r="Z12" s="21">
        <v>0.0</v>
      </c>
      <c r="AA12" s="20">
        <f t="shared" si="6"/>
        <v>0</v>
      </c>
      <c r="AB12" s="21">
        <v>0.0</v>
      </c>
      <c r="AC12" s="20">
        <v>0.0</v>
      </c>
      <c r="AD12" s="22">
        <v>2500.0</v>
      </c>
      <c r="AE12" s="23">
        <v>0.0</v>
      </c>
      <c r="AF12" s="22">
        <f t="shared" si="7"/>
        <v>0</v>
      </c>
      <c r="AG12" s="23">
        <v>1.0</v>
      </c>
      <c r="AH12" s="22">
        <v>2000.0</v>
      </c>
      <c r="AI12" s="18">
        <v>2500.0</v>
      </c>
      <c r="AJ12" s="19">
        <v>0.0</v>
      </c>
      <c r="AK12" s="18">
        <f t="shared" si="8"/>
        <v>0</v>
      </c>
      <c r="AL12" s="19">
        <v>0.0</v>
      </c>
      <c r="AM12" s="18">
        <v>0.0</v>
      </c>
      <c r="AN12" s="20">
        <v>2500.0</v>
      </c>
      <c r="AO12" s="21">
        <v>0.0</v>
      </c>
      <c r="AP12" s="20">
        <f t="shared" si="9"/>
        <v>0</v>
      </c>
      <c r="AQ12" s="21">
        <v>0.0</v>
      </c>
      <c r="AR12" s="20">
        <f t="shared" si="15"/>
        <v>0</v>
      </c>
      <c r="AS12" s="22">
        <v>2500.0</v>
      </c>
      <c r="AT12" s="23">
        <v>0.0</v>
      </c>
      <c r="AU12" s="22">
        <f t="shared" si="10"/>
        <v>0</v>
      </c>
      <c r="AV12" s="23">
        <v>0.0</v>
      </c>
      <c r="AW12" s="22">
        <v>0.0</v>
      </c>
      <c r="AX12" s="18">
        <v>2500.0</v>
      </c>
      <c r="AY12" s="19">
        <v>0.0</v>
      </c>
      <c r="AZ12" s="18">
        <f t="shared" si="11"/>
        <v>0</v>
      </c>
      <c r="BA12" s="19">
        <v>0.0</v>
      </c>
      <c r="BB12" s="18">
        <v>0.0</v>
      </c>
      <c r="BC12" s="20">
        <v>2500.0</v>
      </c>
      <c r="BD12" s="21">
        <v>0.0</v>
      </c>
      <c r="BE12" s="20">
        <f t="shared" si="12"/>
        <v>0</v>
      </c>
      <c r="BF12" s="21">
        <v>0.0</v>
      </c>
      <c r="BG12" s="20">
        <v>0.0</v>
      </c>
      <c r="BH12" s="22">
        <v>2500.0</v>
      </c>
      <c r="BI12" s="23">
        <v>0.0</v>
      </c>
      <c r="BJ12" s="22">
        <f t="shared" si="13"/>
        <v>0</v>
      </c>
      <c r="BK12" s="23">
        <v>0.0</v>
      </c>
      <c r="BL12" s="22">
        <v>0.0</v>
      </c>
      <c r="BM12" s="18">
        <v>2500.0</v>
      </c>
      <c r="BN12" s="19">
        <v>0.0</v>
      </c>
      <c r="BO12" s="18">
        <f t="shared" si="14"/>
        <v>0</v>
      </c>
      <c r="BP12" s="19">
        <v>0.0</v>
      </c>
      <c r="BQ12" s="18">
        <v>0.0</v>
      </c>
    </row>
    <row r="13" ht="15.75" customHeight="1">
      <c r="A13" s="15" t="s">
        <v>17</v>
      </c>
      <c r="B13" s="16">
        <v>1500.0</v>
      </c>
      <c r="C13" s="17">
        <v>2500.0</v>
      </c>
      <c r="D13" s="18">
        <v>2500.0</v>
      </c>
      <c r="E13" s="19">
        <v>0.0</v>
      </c>
      <c r="F13" s="18">
        <f t="shared" si="1"/>
        <v>0</v>
      </c>
      <c r="G13" s="19">
        <v>0.0</v>
      </c>
      <c r="H13" s="18">
        <v>0.0</v>
      </c>
      <c r="I13" s="20"/>
      <c r="J13" s="20">
        <v>2500.0</v>
      </c>
      <c r="K13" s="21">
        <v>1.0</v>
      </c>
      <c r="L13" s="20">
        <f t="shared" si="2"/>
        <v>2500</v>
      </c>
      <c r="M13" s="21">
        <v>0.0</v>
      </c>
      <c r="N13" s="20">
        <v>0.0</v>
      </c>
      <c r="O13" s="22">
        <v>2500.0</v>
      </c>
      <c r="P13" s="23">
        <v>0.0</v>
      </c>
      <c r="Q13" s="22">
        <f t="shared" si="3"/>
        <v>0</v>
      </c>
      <c r="R13" s="23">
        <v>0.0</v>
      </c>
      <c r="S13" s="22">
        <f t="shared" si="4"/>
        <v>0</v>
      </c>
      <c r="T13" s="18">
        <v>2500.0</v>
      </c>
      <c r="U13" s="19">
        <v>0.0</v>
      </c>
      <c r="V13" s="18">
        <f t="shared" si="5"/>
        <v>0</v>
      </c>
      <c r="W13" s="19">
        <v>3.0</v>
      </c>
      <c r="X13" s="18">
        <v>3600.0</v>
      </c>
      <c r="Y13" s="20">
        <v>2500.0</v>
      </c>
      <c r="Z13" s="21">
        <v>0.0</v>
      </c>
      <c r="AA13" s="20">
        <f t="shared" si="6"/>
        <v>0</v>
      </c>
      <c r="AB13" s="21">
        <v>0.0</v>
      </c>
      <c r="AC13" s="20">
        <v>0.0</v>
      </c>
      <c r="AD13" s="22">
        <v>2500.0</v>
      </c>
      <c r="AE13" s="23">
        <v>0.0</v>
      </c>
      <c r="AF13" s="22">
        <f t="shared" si="7"/>
        <v>0</v>
      </c>
      <c r="AG13" s="23">
        <v>0.0</v>
      </c>
      <c r="AH13" s="22">
        <v>0.0</v>
      </c>
      <c r="AI13" s="18">
        <v>2500.0</v>
      </c>
      <c r="AJ13" s="19">
        <v>0.0</v>
      </c>
      <c r="AK13" s="18">
        <f t="shared" si="8"/>
        <v>0</v>
      </c>
      <c r="AL13" s="19">
        <v>0.0</v>
      </c>
      <c r="AM13" s="18">
        <v>0.0</v>
      </c>
      <c r="AN13" s="20">
        <v>2500.0</v>
      </c>
      <c r="AO13" s="21">
        <v>0.0</v>
      </c>
      <c r="AP13" s="20">
        <f t="shared" si="9"/>
        <v>0</v>
      </c>
      <c r="AQ13" s="21">
        <v>0.0</v>
      </c>
      <c r="AR13" s="20">
        <f t="shared" si="15"/>
        <v>0</v>
      </c>
      <c r="AS13" s="22">
        <v>2500.0</v>
      </c>
      <c r="AT13" s="23">
        <v>0.0</v>
      </c>
      <c r="AU13" s="22">
        <f t="shared" si="10"/>
        <v>0</v>
      </c>
      <c r="AV13" s="23">
        <v>0.0</v>
      </c>
      <c r="AW13" s="22">
        <v>0.0</v>
      </c>
      <c r="AX13" s="18">
        <v>2500.0</v>
      </c>
      <c r="AY13" s="19">
        <v>0.0</v>
      </c>
      <c r="AZ13" s="18">
        <f t="shared" si="11"/>
        <v>0</v>
      </c>
      <c r="BA13" s="19">
        <v>0.0</v>
      </c>
      <c r="BB13" s="18">
        <v>0.0</v>
      </c>
      <c r="BC13" s="20">
        <v>2500.0</v>
      </c>
      <c r="BD13" s="21">
        <v>0.0</v>
      </c>
      <c r="BE13" s="20">
        <f t="shared" si="12"/>
        <v>0</v>
      </c>
      <c r="BF13" s="21">
        <v>0.0</v>
      </c>
      <c r="BG13" s="20">
        <v>0.0</v>
      </c>
      <c r="BH13" s="22">
        <v>2500.0</v>
      </c>
      <c r="BI13" s="23">
        <v>0.0</v>
      </c>
      <c r="BJ13" s="22">
        <f t="shared" si="13"/>
        <v>0</v>
      </c>
      <c r="BK13" s="23">
        <v>0.0</v>
      </c>
      <c r="BL13" s="22">
        <v>0.0</v>
      </c>
      <c r="BM13" s="18">
        <v>2500.0</v>
      </c>
      <c r="BN13" s="19">
        <v>0.0</v>
      </c>
      <c r="BO13" s="18">
        <f t="shared" si="14"/>
        <v>0</v>
      </c>
      <c r="BP13" s="19">
        <v>0.0</v>
      </c>
      <c r="BQ13" s="18">
        <v>0.0</v>
      </c>
    </row>
    <row r="14" ht="15.75" customHeight="1">
      <c r="A14" s="15" t="s">
        <v>18</v>
      </c>
      <c r="B14" s="16">
        <v>600.0</v>
      </c>
      <c r="C14" s="17">
        <v>2000.0</v>
      </c>
      <c r="D14" s="18">
        <v>1200.0</v>
      </c>
      <c r="E14" s="19">
        <v>0.0</v>
      </c>
      <c r="F14" s="18">
        <f t="shared" si="1"/>
        <v>0</v>
      </c>
      <c r="G14" s="19">
        <v>0.0</v>
      </c>
      <c r="H14" s="18">
        <v>0.0</v>
      </c>
      <c r="I14" s="20"/>
      <c r="J14" s="20">
        <v>1500.0</v>
      </c>
      <c r="K14" s="21">
        <v>8.0</v>
      </c>
      <c r="L14" s="20">
        <f t="shared" si="2"/>
        <v>12000</v>
      </c>
      <c r="M14" s="21">
        <v>0.0</v>
      </c>
      <c r="N14" s="20">
        <v>0.0</v>
      </c>
      <c r="O14" s="22">
        <v>1500.0</v>
      </c>
      <c r="P14" s="23">
        <v>0.0</v>
      </c>
      <c r="Q14" s="22">
        <f t="shared" si="3"/>
        <v>0</v>
      </c>
      <c r="R14" s="23">
        <v>0.0</v>
      </c>
      <c r="S14" s="22">
        <f t="shared" si="4"/>
        <v>0</v>
      </c>
      <c r="T14" s="18">
        <v>1500.0</v>
      </c>
      <c r="U14" s="19">
        <v>0.0</v>
      </c>
      <c r="V14" s="18">
        <f t="shared" si="5"/>
        <v>0</v>
      </c>
      <c r="W14" s="19">
        <v>5.0</v>
      </c>
      <c r="X14" s="18">
        <v>4400.0</v>
      </c>
      <c r="Y14" s="20">
        <v>1500.0</v>
      </c>
      <c r="Z14" s="21">
        <v>0.0</v>
      </c>
      <c r="AA14" s="20">
        <f t="shared" si="6"/>
        <v>0</v>
      </c>
      <c r="AB14" s="21">
        <v>0.0</v>
      </c>
      <c r="AC14" s="20">
        <v>0.0</v>
      </c>
      <c r="AD14" s="22">
        <v>1500.0</v>
      </c>
      <c r="AE14" s="23">
        <v>2.0</v>
      </c>
      <c r="AF14" s="22">
        <f t="shared" si="7"/>
        <v>3000</v>
      </c>
      <c r="AG14" s="23">
        <v>0.0</v>
      </c>
      <c r="AH14" s="22">
        <v>0.0</v>
      </c>
      <c r="AI14" s="18">
        <v>1500.0</v>
      </c>
      <c r="AJ14" s="19">
        <v>0.0</v>
      </c>
      <c r="AK14" s="18">
        <f t="shared" si="8"/>
        <v>0</v>
      </c>
      <c r="AL14" s="19">
        <v>0.0</v>
      </c>
      <c r="AM14" s="18">
        <v>0.0</v>
      </c>
      <c r="AN14" s="20">
        <v>1500.0</v>
      </c>
      <c r="AO14" s="21">
        <v>0.0</v>
      </c>
      <c r="AP14" s="20">
        <f t="shared" si="9"/>
        <v>0</v>
      </c>
      <c r="AQ14" s="21">
        <v>0.0</v>
      </c>
      <c r="AR14" s="20">
        <f t="shared" si="15"/>
        <v>0</v>
      </c>
      <c r="AS14" s="22">
        <v>2000.0</v>
      </c>
      <c r="AT14" s="23">
        <v>4.0</v>
      </c>
      <c r="AU14" s="22">
        <f t="shared" si="10"/>
        <v>8000</v>
      </c>
      <c r="AV14" s="23">
        <v>0.0</v>
      </c>
      <c r="AW14" s="22">
        <v>0.0</v>
      </c>
      <c r="AX14" s="18">
        <v>1500.0</v>
      </c>
      <c r="AY14" s="19">
        <v>2.0</v>
      </c>
      <c r="AZ14" s="18">
        <f t="shared" si="11"/>
        <v>3000</v>
      </c>
      <c r="BA14" s="19">
        <v>0.0</v>
      </c>
      <c r="BB14" s="18">
        <v>0.0</v>
      </c>
      <c r="BC14" s="20">
        <v>1500.0</v>
      </c>
      <c r="BD14" s="21">
        <v>0.0</v>
      </c>
      <c r="BE14" s="20">
        <f t="shared" si="12"/>
        <v>0</v>
      </c>
      <c r="BF14" s="21">
        <v>0.0</v>
      </c>
      <c r="BG14" s="20">
        <v>0.0</v>
      </c>
      <c r="BH14" s="22">
        <v>2000.0</v>
      </c>
      <c r="BI14" s="23">
        <v>0.0</v>
      </c>
      <c r="BJ14" s="22">
        <f t="shared" si="13"/>
        <v>0</v>
      </c>
      <c r="BK14" s="23">
        <v>0.0</v>
      </c>
      <c r="BL14" s="22">
        <v>0.0</v>
      </c>
      <c r="BM14" s="18">
        <v>1500.0</v>
      </c>
      <c r="BN14" s="19">
        <v>0.0</v>
      </c>
      <c r="BO14" s="18">
        <f t="shared" si="14"/>
        <v>0</v>
      </c>
      <c r="BP14" s="19">
        <v>0.0</v>
      </c>
      <c r="BQ14" s="18">
        <v>0.0</v>
      </c>
    </row>
    <row r="15" ht="15.75" customHeight="1">
      <c r="A15" s="15" t="s">
        <v>19</v>
      </c>
      <c r="B15" s="16">
        <v>1000.0</v>
      </c>
      <c r="C15" s="17">
        <v>3000.0</v>
      </c>
      <c r="D15" s="18">
        <v>2000.0</v>
      </c>
      <c r="E15" s="19">
        <v>0.0</v>
      </c>
      <c r="F15" s="18">
        <f t="shared" si="1"/>
        <v>0</v>
      </c>
      <c r="G15" s="19">
        <v>0.0</v>
      </c>
      <c r="H15" s="18">
        <v>0.0</v>
      </c>
      <c r="I15" s="20"/>
      <c r="J15" s="20">
        <v>3000.0</v>
      </c>
      <c r="K15" s="21">
        <v>7.0</v>
      </c>
      <c r="L15" s="20">
        <f t="shared" si="2"/>
        <v>21000</v>
      </c>
      <c r="M15" s="21">
        <v>1.0</v>
      </c>
      <c r="N15" s="20">
        <v>2000.0</v>
      </c>
      <c r="O15" s="22">
        <v>3000.0</v>
      </c>
      <c r="P15" s="23">
        <v>0.0</v>
      </c>
      <c r="Q15" s="22">
        <f t="shared" si="3"/>
        <v>0</v>
      </c>
      <c r="R15" s="23">
        <v>0.0</v>
      </c>
      <c r="S15" s="22">
        <f t="shared" si="4"/>
        <v>0</v>
      </c>
      <c r="T15" s="18">
        <v>3000.0</v>
      </c>
      <c r="U15" s="19">
        <v>1.0</v>
      </c>
      <c r="V15" s="18">
        <f t="shared" si="5"/>
        <v>3000</v>
      </c>
      <c r="W15" s="19">
        <v>1.0</v>
      </c>
      <c r="X15" s="18">
        <v>1200.0</v>
      </c>
      <c r="Y15" s="20">
        <v>3000.0</v>
      </c>
      <c r="Z15" s="21">
        <v>0.0</v>
      </c>
      <c r="AA15" s="20">
        <f t="shared" si="6"/>
        <v>0</v>
      </c>
      <c r="AB15" s="21">
        <v>0.0</v>
      </c>
      <c r="AC15" s="20">
        <v>0.0</v>
      </c>
      <c r="AD15" s="22">
        <v>3000.0</v>
      </c>
      <c r="AE15" s="23">
        <v>0.0</v>
      </c>
      <c r="AF15" s="22">
        <f t="shared" si="7"/>
        <v>0</v>
      </c>
      <c r="AG15" s="23">
        <v>1.0</v>
      </c>
      <c r="AH15" s="22">
        <v>0.0</v>
      </c>
      <c r="AI15" s="18">
        <v>3000.0</v>
      </c>
      <c r="AJ15" s="19">
        <v>0.0</v>
      </c>
      <c r="AK15" s="18">
        <f t="shared" si="8"/>
        <v>0</v>
      </c>
      <c r="AL15" s="19">
        <v>1.0</v>
      </c>
      <c r="AM15" s="18">
        <v>0.0</v>
      </c>
      <c r="AN15" s="20">
        <v>3000.0</v>
      </c>
      <c r="AO15" s="21">
        <v>0.0</v>
      </c>
      <c r="AP15" s="20">
        <f t="shared" si="9"/>
        <v>0</v>
      </c>
      <c r="AQ15" s="21">
        <v>0.0</v>
      </c>
      <c r="AR15" s="20">
        <f t="shared" si="15"/>
        <v>0</v>
      </c>
      <c r="AS15" s="22">
        <v>3000.0</v>
      </c>
      <c r="AT15" s="23">
        <v>1.0</v>
      </c>
      <c r="AU15" s="22">
        <f t="shared" si="10"/>
        <v>3000</v>
      </c>
      <c r="AV15" s="23">
        <v>0.0</v>
      </c>
      <c r="AW15" s="22">
        <v>0.0</v>
      </c>
      <c r="AX15" s="18">
        <v>3000.0</v>
      </c>
      <c r="AY15" s="19">
        <v>2.0</v>
      </c>
      <c r="AZ15" s="18">
        <f t="shared" si="11"/>
        <v>6000</v>
      </c>
      <c r="BA15" s="19">
        <v>0.0</v>
      </c>
      <c r="BB15" s="18">
        <v>0.0</v>
      </c>
      <c r="BC15" s="20">
        <v>3000.0</v>
      </c>
      <c r="BD15" s="21">
        <v>0.0</v>
      </c>
      <c r="BE15" s="20">
        <f t="shared" si="12"/>
        <v>0</v>
      </c>
      <c r="BF15" s="21">
        <v>0.0</v>
      </c>
      <c r="BG15" s="20">
        <v>0.0</v>
      </c>
      <c r="BH15" s="22">
        <v>3000.0</v>
      </c>
      <c r="BI15" s="23">
        <v>0.0</v>
      </c>
      <c r="BJ15" s="22">
        <f t="shared" si="13"/>
        <v>0</v>
      </c>
      <c r="BK15" s="23">
        <v>0.0</v>
      </c>
      <c r="BL15" s="22">
        <v>0.0</v>
      </c>
      <c r="BM15" s="18">
        <v>3000.0</v>
      </c>
      <c r="BN15" s="19">
        <v>0.0</v>
      </c>
      <c r="BO15" s="18">
        <f t="shared" si="14"/>
        <v>0</v>
      </c>
      <c r="BP15" s="19">
        <v>0.0</v>
      </c>
      <c r="BQ15" s="18">
        <v>0.0</v>
      </c>
    </row>
    <row r="16" ht="15.75" customHeight="1">
      <c r="A16" s="15" t="s">
        <v>20</v>
      </c>
      <c r="B16" s="16">
        <v>12000.0</v>
      </c>
      <c r="C16" s="17">
        <v>15000.0</v>
      </c>
      <c r="D16" s="18">
        <v>12000.0</v>
      </c>
      <c r="E16" s="19">
        <v>1.0</v>
      </c>
      <c r="F16" s="18">
        <f t="shared" si="1"/>
        <v>12000</v>
      </c>
      <c r="G16" s="19">
        <v>0.0</v>
      </c>
      <c r="H16" s="18">
        <v>0.0</v>
      </c>
      <c r="I16" s="20"/>
      <c r="J16" s="20">
        <v>15000.0</v>
      </c>
      <c r="K16" s="21">
        <v>3.0</v>
      </c>
      <c r="L16" s="20">
        <f t="shared" si="2"/>
        <v>45000</v>
      </c>
      <c r="M16" s="21">
        <v>0.0</v>
      </c>
      <c r="N16" s="20">
        <v>0.0</v>
      </c>
      <c r="O16" s="22">
        <v>15000.0</v>
      </c>
      <c r="P16" s="23">
        <v>0.0</v>
      </c>
      <c r="Q16" s="22">
        <f t="shared" si="3"/>
        <v>0</v>
      </c>
      <c r="R16" s="23">
        <v>0.0</v>
      </c>
      <c r="S16" s="22">
        <f t="shared" si="4"/>
        <v>0</v>
      </c>
      <c r="T16" s="18">
        <v>15000.0</v>
      </c>
      <c r="U16" s="19">
        <v>0.0</v>
      </c>
      <c r="V16" s="18">
        <f t="shared" si="5"/>
        <v>0</v>
      </c>
      <c r="W16" s="19">
        <v>0.0</v>
      </c>
      <c r="X16" s="18">
        <v>0.0</v>
      </c>
      <c r="Y16" s="20">
        <v>15000.0</v>
      </c>
      <c r="Z16" s="21">
        <v>0.0</v>
      </c>
      <c r="AA16" s="20">
        <f t="shared" si="6"/>
        <v>0</v>
      </c>
      <c r="AB16" s="21">
        <v>0.0</v>
      </c>
      <c r="AC16" s="20">
        <v>0.0</v>
      </c>
      <c r="AD16" s="22">
        <v>15000.0</v>
      </c>
      <c r="AE16" s="23">
        <v>0.0</v>
      </c>
      <c r="AF16" s="22">
        <f t="shared" si="7"/>
        <v>0</v>
      </c>
      <c r="AG16" s="23">
        <v>0.0</v>
      </c>
      <c r="AH16" s="22">
        <v>0.0</v>
      </c>
      <c r="AI16" s="18">
        <v>15000.0</v>
      </c>
      <c r="AJ16" s="19">
        <v>0.0</v>
      </c>
      <c r="AK16" s="18">
        <f t="shared" si="8"/>
        <v>0</v>
      </c>
      <c r="AL16" s="19">
        <v>0.0</v>
      </c>
      <c r="AM16" s="18">
        <v>0.0</v>
      </c>
      <c r="AN16" s="20">
        <v>15000.0</v>
      </c>
      <c r="AO16" s="21">
        <v>0.0</v>
      </c>
      <c r="AP16" s="20">
        <f t="shared" si="9"/>
        <v>0</v>
      </c>
      <c r="AQ16" s="21">
        <v>0.0</v>
      </c>
      <c r="AR16" s="20">
        <f t="shared" si="15"/>
        <v>0</v>
      </c>
      <c r="AS16" s="22">
        <v>15000.0</v>
      </c>
      <c r="AT16" s="23">
        <v>0.0</v>
      </c>
      <c r="AU16" s="22">
        <f t="shared" si="10"/>
        <v>0</v>
      </c>
      <c r="AV16" s="23">
        <v>0.0</v>
      </c>
      <c r="AW16" s="22">
        <v>0.0</v>
      </c>
      <c r="AX16" s="18">
        <v>15000.0</v>
      </c>
      <c r="AY16" s="19">
        <v>2.0</v>
      </c>
      <c r="AZ16" s="18">
        <f t="shared" si="11"/>
        <v>30000</v>
      </c>
      <c r="BA16" s="19">
        <v>0.0</v>
      </c>
      <c r="BB16" s="18">
        <v>0.0</v>
      </c>
      <c r="BC16" s="20">
        <v>15000.0</v>
      </c>
      <c r="BD16" s="21">
        <v>0.0</v>
      </c>
      <c r="BE16" s="20">
        <f t="shared" si="12"/>
        <v>0</v>
      </c>
      <c r="BF16" s="21">
        <v>0.0</v>
      </c>
      <c r="BG16" s="20">
        <v>0.0</v>
      </c>
      <c r="BH16" s="22">
        <v>15000.0</v>
      </c>
      <c r="BI16" s="23">
        <v>0.0</v>
      </c>
      <c r="BJ16" s="22">
        <f t="shared" si="13"/>
        <v>0</v>
      </c>
      <c r="BK16" s="23">
        <v>0.0</v>
      </c>
      <c r="BL16" s="22">
        <v>0.0</v>
      </c>
      <c r="BM16" s="18">
        <v>15000.0</v>
      </c>
      <c r="BN16" s="19">
        <v>0.0</v>
      </c>
      <c r="BO16" s="18">
        <f t="shared" si="14"/>
        <v>0</v>
      </c>
      <c r="BP16" s="19">
        <v>0.0</v>
      </c>
      <c r="BQ16" s="18">
        <v>0.0</v>
      </c>
    </row>
    <row r="17" ht="15.75" customHeight="1">
      <c r="A17" s="15" t="s">
        <v>21</v>
      </c>
      <c r="B17" s="16">
        <v>25000.0</v>
      </c>
      <c r="C17" s="17">
        <v>25000.0</v>
      </c>
      <c r="D17" s="18">
        <v>25000.0</v>
      </c>
      <c r="E17" s="19">
        <v>1.0</v>
      </c>
      <c r="F17" s="18">
        <f t="shared" si="1"/>
        <v>25000</v>
      </c>
      <c r="G17" s="19">
        <v>0.0</v>
      </c>
      <c r="H17" s="18">
        <v>0.0</v>
      </c>
      <c r="I17" s="20"/>
      <c r="J17" s="20">
        <v>25000.0</v>
      </c>
      <c r="K17" s="21">
        <v>0.0</v>
      </c>
      <c r="L17" s="20">
        <f t="shared" si="2"/>
        <v>0</v>
      </c>
      <c r="M17" s="21">
        <v>0.0</v>
      </c>
      <c r="N17" s="20">
        <v>0.0</v>
      </c>
      <c r="O17" s="22">
        <v>25000.0</v>
      </c>
      <c r="P17" s="23">
        <v>0.0</v>
      </c>
      <c r="Q17" s="22">
        <f t="shared" si="3"/>
        <v>0</v>
      </c>
      <c r="R17" s="23">
        <v>0.0</v>
      </c>
      <c r="S17" s="22">
        <f t="shared" si="4"/>
        <v>0</v>
      </c>
      <c r="T17" s="18">
        <v>25000.0</v>
      </c>
      <c r="U17" s="19">
        <v>0.0</v>
      </c>
      <c r="V17" s="18">
        <f t="shared" si="5"/>
        <v>0</v>
      </c>
      <c r="W17" s="19">
        <v>0.0</v>
      </c>
      <c r="X17" s="18">
        <v>0.0</v>
      </c>
      <c r="Y17" s="20">
        <v>25000.0</v>
      </c>
      <c r="Z17" s="21">
        <v>0.0</v>
      </c>
      <c r="AA17" s="20">
        <f t="shared" si="6"/>
        <v>0</v>
      </c>
      <c r="AB17" s="21">
        <v>0.0</v>
      </c>
      <c r="AC17" s="20">
        <v>0.0</v>
      </c>
      <c r="AD17" s="22">
        <v>25000.0</v>
      </c>
      <c r="AE17" s="23">
        <v>0.0</v>
      </c>
      <c r="AF17" s="22">
        <f t="shared" si="7"/>
        <v>0</v>
      </c>
      <c r="AG17" s="23">
        <v>0.0</v>
      </c>
      <c r="AH17" s="22">
        <v>0.0</v>
      </c>
      <c r="AI17" s="18">
        <v>25000.0</v>
      </c>
      <c r="AJ17" s="19">
        <v>0.0</v>
      </c>
      <c r="AK17" s="18">
        <f t="shared" si="8"/>
        <v>0</v>
      </c>
      <c r="AL17" s="19">
        <v>0.0</v>
      </c>
      <c r="AM17" s="18">
        <v>0.0</v>
      </c>
      <c r="AN17" s="20">
        <v>25000.0</v>
      </c>
      <c r="AO17" s="21">
        <v>0.0</v>
      </c>
      <c r="AP17" s="20">
        <f t="shared" si="9"/>
        <v>0</v>
      </c>
      <c r="AQ17" s="21">
        <v>0.0</v>
      </c>
      <c r="AR17" s="20">
        <f t="shared" si="15"/>
        <v>0</v>
      </c>
      <c r="AS17" s="22">
        <v>25000.0</v>
      </c>
      <c r="AT17" s="23">
        <v>0.0</v>
      </c>
      <c r="AU17" s="22">
        <f t="shared" si="10"/>
        <v>0</v>
      </c>
      <c r="AV17" s="23">
        <v>0.0</v>
      </c>
      <c r="AW17" s="22">
        <v>0.0</v>
      </c>
      <c r="AX17" s="18">
        <v>25000.0</v>
      </c>
      <c r="AY17" s="19">
        <v>0.0</v>
      </c>
      <c r="AZ17" s="18">
        <f t="shared" si="11"/>
        <v>0</v>
      </c>
      <c r="BA17" s="19">
        <v>0.0</v>
      </c>
      <c r="BB17" s="18">
        <v>0.0</v>
      </c>
      <c r="BC17" s="20">
        <v>25000.0</v>
      </c>
      <c r="BD17" s="21">
        <v>0.0</v>
      </c>
      <c r="BE17" s="20">
        <f t="shared" si="12"/>
        <v>0</v>
      </c>
      <c r="BF17" s="21">
        <v>0.0</v>
      </c>
      <c r="BG17" s="20">
        <v>0.0</v>
      </c>
      <c r="BH17" s="22">
        <v>25000.0</v>
      </c>
      <c r="BI17" s="23">
        <v>0.0</v>
      </c>
      <c r="BJ17" s="22">
        <f t="shared" si="13"/>
        <v>0</v>
      </c>
      <c r="BK17" s="23">
        <v>0.0</v>
      </c>
      <c r="BL17" s="22">
        <v>0.0</v>
      </c>
      <c r="BM17" s="18">
        <v>25000.0</v>
      </c>
      <c r="BN17" s="19">
        <v>0.0</v>
      </c>
      <c r="BO17" s="18">
        <f t="shared" si="14"/>
        <v>0</v>
      </c>
      <c r="BP17" s="19">
        <v>0.0</v>
      </c>
      <c r="BQ17" s="18">
        <v>0.0</v>
      </c>
    </row>
    <row r="18" ht="15.75" customHeight="1">
      <c r="A18" s="15" t="s">
        <v>22</v>
      </c>
      <c r="B18" s="16">
        <v>15000.0</v>
      </c>
      <c r="C18" s="17">
        <v>20000.0</v>
      </c>
      <c r="N18" s="17"/>
      <c r="O18" s="22">
        <v>20000.0</v>
      </c>
      <c r="P18" s="23">
        <v>0.0</v>
      </c>
      <c r="Q18" s="22">
        <f t="shared" si="3"/>
        <v>0</v>
      </c>
      <c r="R18" s="23">
        <v>0.0</v>
      </c>
      <c r="S18" s="22">
        <f t="shared" si="4"/>
        <v>0</v>
      </c>
      <c r="T18" s="18">
        <v>20000.0</v>
      </c>
      <c r="U18" s="19">
        <v>0.0</v>
      </c>
      <c r="V18" s="18">
        <f t="shared" si="5"/>
        <v>0</v>
      </c>
      <c r="W18" s="19">
        <v>0.0</v>
      </c>
      <c r="X18" s="18">
        <v>0.0</v>
      </c>
      <c r="Y18" s="20">
        <v>20000.0</v>
      </c>
      <c r="Z18" s="21">
        <v>0.0</v>
      </c>
      <c r="AA18" s="20">
        <f t="shared" si="6"/>
        <v>0</v>
      </c>
      <c r="AB18" s="21">
        <v>0.0</v>
      </c>
      <c r="AC18" s="20">
        <v>0.0</v>
      </c>
      <c r="AD18" s="22">
        <v>20000.0</v>
      </c>
      <c r="AE18" s="23">
        <v>0.0</v>
      </c>
      <c r="AF18" s="22">
        <f t="shared" si="7"/>
        <v>0</v>
      </c>
      <c r="AG18" s="23">
        <v>0.0</v>
      </c>
      <c r="AH18" s="22">
        <v>0.0</v>
      </c>
      <c r="AI18" s="18">
        <v>20000.0</v>
      </c>
      <c r="AJ18" s="19">
        <v>0.0</v>
      </c>
      <c r="AK18" s="18">
        <f t="shared" si="8"/>
        <v>0</v>
      </c>
      <c r="AL18" s="19">
        <v>0.0</v>
      </c>
      <c r="AM18" s="18">
        <v>0.0</v>
      </c>
      <c r="AN18" s="20">
        <v>20000.0</v>
      </c>
      <c r="AO18" s="21">
        <v>0.0</v>
      </c>
      <c r="AP18" s="20">
        <f t="shared" si="9"/>
        <v>0</v>
      </c>
      <c r="AQ18" s="21">
        <v>0.0</v>
      </c>
      <c r="AR18" s="20">
        <f t="shared" si="15"/>
        <v>0</v>
      </c>
      <c r="AS18" s="22">
        <v>20000.0</v>
      </c>
      <c r="AT18" s="23">
        <v>1.0</v>
      </c>
      <c r="AU18" s="22">
        <f t="shared" si="10"/>
        <v>20000</v>
      </c>
      <c r="AV18" s="23">
        <v>0.0</v>
      </c>
      <c r="AW18" s="22">
        <v>0.0</v>
      </c>
      <c r="AX18" s="18">
        <v>20000.0</v>
      </c>
      <c r="AY18" s="19">
        <v>0.0</v>
      </c>
      <c r="AZ18" s="18">
        <f t="shared" si="11"/>
        <v>0</v>
      </c>
      <c r="BA18" s="19">
        <v>0.0</v>
      </c>
      <c r="BB18" s="18">
        <v>0.0</v>
      </c>
      <c r="BC18" s="20">
        <v>20000.0</v>
      </c>
      <c r="BD18" s="21">
        <v>0.0</v>
      </c>
      <c r="BE18" s="20">
        <f t="shared" si="12"/>
        <v>0</v>
      </c>
      <c r="BF18" s="21">
        <v>0.0</v>
      </c>
      <c r="BG18" s="20">
        <v>0.0</v>
      </c>
      <c r="BH18" s="22">
        <v>20000.0</v>
      </c>
      <c r="BI18" s="23">
        <v>0.0</v>
      </c>
      <c r="BJ18" s="22">
        <f t="shared" si="13"/>
        <v>0</v>
      </c>
      <c r="BK18" s="23">
        <v>0.0</v>
      </c>
      <c r="BL18" s="22">
        <v>0.0</v>
      </c>
      <c r="BM18" s="18">
        <v>20000.0</v>
      </c>
      <c r="BN18" s="19">
        <v>0.0</v>
      </c>
      <c r="BO18" s="18">
        <f t="shared" si="14"/>
        <v>0</v>
      </c>
      <c r="BP18" s="19">
        <v>0.0</v>
      </c>
      <c r="BQ18" s="18">
        <v>0.0</v>
      </c>
    </row>
    <row r="19" ht="15.75" customHeight="1">
      <c r="A19" s="15" t="s">
        <v>23</v>
      </c>
      <c r="B19" s="16">
        <v>6000.0</v>
      </c>
      <c r="C19" s="17">
        <v>10000.0</v>
      </c>
      <c r="D19" s="24"/>
      <c r="E19" s="25"/>
      <c r="F19" s="25"/>
      <c r="G19" s="25"/>
      <c r="H19" s="25"/>
      <c r="I19" s="24"/>
      <c r="J19" s="24"/>
      <c r="K19" s="24"/>
      <c r="L19" s="24"/>
      <c r="M19" s="24"/>
      <c r="N19" s="17"/>
      <c r="O19" s="22">
        <v>10000.0</v>
      </c>
      <c r="P19" s="23">
        <v>0.0</v>
      </c>
      <c r="Q19" s="22">
        <f t="shared" si="3"/>
        <v>0</v>
      </c>
      <c r="R19" s="23">
        <v>0.0</v>
      </c>
      <c r="S19" s="22">
        <f t="shared" si="4"/>
        <v>0</v>
      </c>
      <c r="T19" s="18">
        <v>10000.0</v>
      </c>
      <c r="U19" s="19">
        <v>1.0</v>
      </c>
      <c r="V19" s="18">
        <f t="shared" si="5"/>
        <v>10000</v>
      </c>
      <c r="W19" s="19">
        <v>0.0</v>
      </c>
      <c r="X19" s="18">
        <v>0.0</v>
      </c>
      <c r="Y19" s="20">
        <v>10000.0</v>
      </c>
      <c r="Z19" s="21">
        <v>0.0</v>
      </c>
      <c r="AA19" s="20">
        <f t="shared" si="6"/>
        <v>0</v>
      </c>
      <c r="AB19" s="21">
        <v>0.0</v>
      </c>
      <c r="AC19" s="20">
        <v>0.0</v>
      </c>
      <c r="AD19" s="22">
        <v>10000.0</v>
      </c>
      <c r="AE19" s="23">
        <v>1.0</v>
      </c>
      <c r="AF19" s="22">
        <f t="shared" si="7"/>
        <v>10000</v>
      </c>
      <c r="AG19" s="23">
        <v>0.0</v>
      </c>
      <c r="AH19" s="22">
        <v>0.0</v>
      </c>
      <c r="AI19" s="18">
        <v>10000.0</v>
      </c>
      <c r="AJ19" s="19">
        <v>2.0</v>
      </c>
      <c r="AK19" s="18">
        <f t="shared" si="8"/>
        <v>20000</v>
      </c>
      <c r="AL19" s="19">
        <v>0.0</v>
      </c>
      <c r="AM19" s="18">
        <v>0.0</v>
      </c>
      <c r="AN19" s="20">
        <v>10000.0</v>
      </c>
      <c r="AO19" s="21">
        <v>0.0</v>
      </c>
      <c r="AP19" s="20">
        <f t="shared" si="9"/>
        <v>0</v>
      </c>
      <c r="AQ19" s="21">
        <v>0.0</v>
      </c>
      <c r="AR19" s="20">
        <f t="shared" si="15"/>
        <v>0</v>
      </c>
      <c r="AS19" s="22">
        <v>10000.0</v>
      </c>
      <c r="AT19" s="23">
        <v>5.0</v>
      </c>
      <c r="AU19" s="22">
        <f t="shared" si="10"/>
        <v>50000</v>
      </c>
      <c r="AV19" s="23">
        <v>0.0</v>
      </c>
      <c r="AW19" s="22">
        <v>0.0</v>
      </c>
      <c r="AX19" s="18">
        <v>10000.0</v>
      </c>
      <c r="AY19" s="19">
        <v>1.0</v>
      </c>
      <c r="AZ19" s="18">
        <f t="shared" si="11"/>
        <v>10000</v>
      </c>
      <c r="BA19" s="19">
        <v>0.0</v>
      </c>
      <c r="BB19" s="18">
        <v>0.0</v>
      </c>
      <c r="BC19" s="20">
        <v>10000.0</v>
      </c>
      <c r="BD19" s="21">
        <v>2.0</v>
      </c>
      <c r="BE19" s="20">
        <f t="shared" si="12"/>
        <v>20000</v>
      </c>
      <c r="BF19" s="21">
        <v>0.0</v>
      </c>
      <c r="BG19" s="20">
        <v>0.0</v>
      </c>
      <c r="BH19" s="22">
        <v>10000.0</v>
      </c>
      <c r="BI19" s="23">
        <v>0.0</v>
      </c>
      <c r="BJ19" s="22">
        <f t="shared" si="13"/>
        <v>0</v>
      </c>
      <c r="BK19" s="23">
        <v>0.0</v>
      </c>
      <c r="BL19" s="22">
        <v>0.0</v>
      </c>
      <c r="BM19" s="18">
        <v>10000.0</v>
      </c>
      <c r="BN19" s="19">
        <v>0.0</v>
      </c>
      <c r="BO19" s="18">
        <f t="shared" si="14"/>
        <v>0</v>
      </c>
      <c r="BP19" s="19">
        <v>4.0</v>
      </c>
      <c r="BQ19" s="18">
        <f>BP19*8000</f>
        <v>32000</v>
      </c>
    </row>
    <row r="20" ht="15.75" customHeight="1">
      <c r="A20" s="15" t="s">
        <v>24</v>
      </c>
      <c r="B20" s="16">
        <v>9500.0</v>
      </c>
      <c r="C20" s="17">
        <v>12000.0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17"/>
      <c r="O20" s="22">
        <v>12000.0</v>
      </c>
      <c r="P20" s="23">
        <v>1.0</v>
      </c>
      <c r="Q20" s="22">
        <f t="shared" si="3"/>
        <v>12000</v>
      </c>
      <c r="R20" s="23">
        <v>0.0</v>
      </c>
      <c r="S20" s="22">
        <f t="shared" si="4"/>
        <v>0</v>
      </c>
      <c r="T20" s="18">
        <v>12000.0</v>
      </c>
      <c r="U20" s="19">
        <v>1.0</v>
      </c>
      <c r="V20" s="18">
        <f t="shared" si="5"/>
        <v>12000</v>
      </c>
      <c r="W20" s="19">
        <v>0.0</v>
      </c>
      <c r="X20" s="18">
        <v>0.0</v>
      </c>
      <c r="Y20" s="20">
        <v>12000.0</v>
      </c>
      <c r="Z20" s="21">
        <v>0.0</v>
      </c>
      <c r="AA20" s="20">
        <f t="shared" si="6"/>
        <v>0</v>
      </c>
      <c r="AB20" s="21">
        <v>0.0</v>
      </c>
      <c r="AC20" s="20">
        <v>0.0</v>
      </c>
      <c r="AD20" s="22">
        <v>12000.0</v>
      </c>
      <c r="AE20" s="23">
        <v>0.0</v>
      </c>
      <c r="AF20" s="22">
        <f t="shared" si="7"/>
        <v>0</v>
      </c>
      <c r="AG20" s="23">
        <v>0.0</v>
      </c>
      <c r="AH20" s="22">
        <v>0.0</v>
      </c>
      <c r="AI20" s="18">
        <v>12000.0</v>
      </c>
      <c r="AJ20" s="19">
        <v>1.0</v>
      </c>
      <c r="AK20" s="18">
        <f t="shared" si="8"/>
        <v>12000</v>
      </c>
      <c r="AL20" s="19">
        <v>1.0</v>
      </c>
      <c r="AM20" s="18">
        <v>11000.0</v>
      </c>
      <c r="AN20" s="20">
        <v>12000.0</v>
      </c>
      <c r="AO20" s="21">
        <v>0.0</v>
      </c>
      <c r="AP20" s="20">
        <f t="shared" si="9"/>
        <v>0</v>
      </c>
      <c r="AQ20" s="21">
        <v>0.0</v>
      </c>
      <c r="AR20" s="20">
        <f t="shared" si="15"/>
        <v>0</v>
      </c>
      <c r="AS20" s="22">
        <v>12000.0</v>
      </c>
      <c r="AT20" s="23">
        <v>4.0</v>
      </c>
      <c r="AU20" s="22">
        <f t="shared" si="10"/>
        <v>48000</v>
      </c>
      <c r="AV20" s="23">
        <v>0.0</v>
      </c>
      <c r="AW20" s="22">
        <v>0.0</v>
      </c>
      <c r="AX20" s="18">
        <v>12000.0</v>
      </c>
      <c r="AY20" s="19">
        <v>1.0</v>
      </c>
      <c r="AZ20" s="18">
        <f t="shared" si="11"/>
        <v>12000</v>
      </c>
      <c r="BA20" s="19">
        <v>0.0</v>
      </c>
      <c r="BB20" s="18">
        <v>0.0</v>
      </c>
      <c r="BC20" s="20">
        <v>12000.0</v>
      </c>
      <c r="BD20" s="21">
        <v>0.0</v>
      </c>
      <c r="BE20" s="20">
        <f t="shared" si="12"/>
        <v>0</v>
      </c>
      <c r="BF20" s="21">
        <v>0.0</v>
      </c>
      <c r="BG20" s="20">
        <v>0.0</v>
      </c>
      <c r="BH20" s="22">
        <v>12000.0</v>
      </c>
      <c r="BI20" s="23">
        <v>0.0</v>
      </c>
      <c r="BJ20" s="22">
        <f t="shared" si="13"/>
        <v>0</v>
      </c>
      <c r="BK20" s="23">
        <v>0.0</v>
      </c>
      <c r="BL20" s="22">
        <v>0.0</v>
      </c>
      <c r="BM20" s="18">
        <v>12000.0</v>
      </c>
      <c r="BN20" s="19">
        <v>0.0</v>
      </c>
      <c r="BO20" s="18">
        <f t="shared" si="14"/>
        <v>0</v>
      </c>
      <c r="BP20" s="19">
        <v>0.0</v>
      </c>
      <c r="BQ20" s="18">
        <v>0.0</v>
      </c>
    </row>
    <row r="21" ht="15.75" customHeight="1">
      <c r="A21" s="15" t="s">
        <v>25</v>
      </c>
      <c r="B21" s="16">
        <v>14000.0</v>
      </c>
      <c r="C21" s="17">
        <v>20000.0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17"/>
      <c r="O21" s="22">
        <v>18000.0</v>
      </c>
      <c r="P21" s="23">
        <v>0.0</v>
      </c>
      <c r="Q21" s="22">
        <f t="shared" si="3"/>
        <v>0</v>
      </c>
      <c r="R21" s="23">
        <v>0.0</v>
      </c>
      <c r="S21" s="22">
        <f t="shared" si="4"/>
        <v>0</v>
      </c>
      <c r="T21" s="18">
        <v>18000.0</v>
      </c>
      <c r="U21" s="19">
        <v>0.0</v>
      </c>
      <c r="V21" s="18">
        <f t="shared" si="5"/>
        <v>0</v>
      </c>
      <c r="W21" s="19">
        <v>2.0</v>
      </c>
      <c r="X21" s="18">
        <v>40000.0</v>
      </c>
      <c r="Y21" s="20">
        <v>20000.0</v>
      </c>
      <c r="Z21" s="21">
        <v>0.0</v>
      </c>
      <c r="AA21" s="20">
        <f t="shared" si="6"/>
        <v>0</v>
      </c>
      <c r="AB21" s="21">
        <v>0.0</v>
      </c>
      <c r="AC21" s="20">
        <v>0.0</v>
      </c>
      <c r="AD21" s="22">
        <v>20000.0</v>
      </c>
      <c r="AE21" s="23">
        <v>1.0</v>
      </c>
      <c r="AF21" s="22">
        <f t="shared" si="7"/>
        <v>20000</v>
      </c>
      <c r="AG21" s="23">
        <v>0.0</v>
      </c>
      <c r="AH21" s="22">
        <v>0.0</v>
      </c>
      <c r="AI21" s="18">
        <v>20000.0</v>
      </c>
      <c r="AJ21" s="19">
        <v>1.0</v>
      </c>
      <c r="AK21" s="18">
        <f t="shared" si="8"/>
        <v>20000</v>
      </c>
      <c r="AL21" s="19">
        <v>0.0</v>
      </c>
      <c r="AM21" s="18">
        <v>0.0</v>
      </c>
      <c r="AN21" s="20">
        <v>20000.0</v>
      </c>
      <c r="AO21" s="21">
        <v>0.0</v>
      </c>
      <c r="AP21" s="20">
        <f t="shared" si="9"/>
        <v>0</v>
      </c>
      <c r="AQ21" s="21">
        <v>0.0</v>
      </c>
      <c r="AR21" s="20">
        <f t="shared" si="15"/>
        <v>0</v>
      </c>
      <c r="AS21" s="22">
        <v>20000.0</v>
      </c>
      <c r="AT21" s="23">
        <v>1.0</v>
      </c>
      <c r="AU21" s="22">
        <f t="shared" si="10"/>
        <v>20000</v>
      </c>
      <c r="AV21" s="23">
        <v>0.0</v>
      </c>
      <c r="AW21" s="22">
        <v>0.0</v>
      </c>
      <c r="AX21" s="18">
        <v>20000.0</v>
      </c>
      <c r="AY21" s="19">
        <v>0.0</v>
      </c>
      <c r="AZ21" s="18">
        <f t="shared" si="11"/>
        <v>0</v>
      </c>
      <c r="BA21" s="19">
        <v>0.0</v>
      </c>
      <c r="BB21" s="18">
        <v>0.0</v>
      </c>
      <c r="BC21" s="20">
        <v>20000.0</v>
      </c>
      <c r="BD21" s="21">
        <v>0.0</v>
      </c>
      <c r="BE21" s="20">
        <f t="shared" si="12"/>
        <v>0</v>
      </c>
      <c r="BF21" s="21">
        <v>0.0</v>
      </c>
      <c r="BG21" s="20">
        <v>0.0</v>
      </c>
      <c r="BH21" s="22">
        <v>20000.0</v>
      </c>
      <c r="BI21" s="23">
        <v>2.0</v>
      </c>
      <c r="BJ21" s="22">
        <f t="shared" si="13"/>
        <v>40000</v>
      </c>
      <c r="BK21" s="23">
        <v>0.0</v>
      </c>
      <c r="BL21" s="22">
        <v>0.0</v>
      </c>
      <c r="BM21" s="18">
        <v>20000.0</v>
      </c>
      <c r="BN21" s="19">
        <v>0.0</v>
      </c>
      <c r="BO21" s="18">
        <f t="shared" si="14"/>
        <v>0</v>
      </c>
      <c r="BP21" s="19">
        <v>0.0</v>
      </c>
      <c r="BQ21" s="18">
        <v>0.0</v>
      </c>
    </row>
    <row r="22" ht="15.75" customHeight="1">
      <c r="A22" s="15" t="s">
        <v>26</v>
      </c>
      <c r="B22" s="16">
        <v>10000.0</v>
      </c>
      <c r="C22" s="17">
        <v>15000.0</v>
      </c>
      <c r="D22" s="24"/>
      <c r="E22" s="24"/>
      <c r="F22" s="24"/>
      <c r="G22" s="24"/>
      <c r="H22" s="24"/>
      <c r="I22" s="25"/>
      <c r="J22" s="25"/>
      <c r="K22" s="24"/>
      <c r="L22" s="24"/>
      <c r="M22" s="24"/>
      <c r="N22" s="17"/>
      <c r="O22" s="22">
        <v>15000.0</v>
      </c>
      <c r="P22" s="23">
        <v>2.0</v>
      </c>
      <c r="Q22" s="22">
        <f t="shared" si="3"/>
        <v>30000</v>
      </c>
      <c r="R22" s="23">
        <v>0.0</v>
      </c>
      <c r="S22" s="22">
        <f t="shared" si="4"/>
        <v>0</v>
      </c>
      <c r="T22" s="18">
        <v>15000.0</v>
      </c>
      <c r="U22" s="19">
        <v>0.0</v>
      </c>
      <c r="V22" s="18">
        <f t="shared" si="5"/>
        <v>0</v>
      </c>
      <c r="W22" s="19">
        <v>1.0</v>
      </c>
      <c r="X22" s="18">
        <v>12000.0</v>
      </c>
      <c r="Y22" s="20">
        <v>15000.0</v>
      </c>
      <c r="Z22" s="21">
        <v>2.0</v>
      </c>
      <c r="AA22" s="20">
        <f t="shared" si="6"/>
        <v>30000</v>
      </c>
      <c r="AB22" s="21">
        <v>0.0</v>
      </c>
      <c r="AC22" s="20">
        <v>0.0</v>
      </c>
      <c r="AD22" s="22">
        <v>15000.0</v>
      </c>
      <c r="AE22" s="23">
        <v>1.0</v>
      </c>
      <c r="AF22" s="22">
        <f t="shared" si="7"/>
        <v>15000</v>
      </c>
      <c r="AG22" s="23">
        <v>0.0</v>
      </c>
      <c r="AH22" s="22">
        <v>0.0</v>
      </c>
      <c r="AI22" s="18">
        <v>15000.0</v>
      </c>
      <c r="AJ22" s="19">
        <v>2.0</v>
      </c>
      <c r="AK22" s="18">
        <f t="shared" si="8"/>
        <v>30000</v>
      </c>
      <c r="AL22" s="19">
        <v>0.0</v>
      </c>
      <c r="AM22" s="18">
        <v>0.0</v>
      </c>
      <c r="AN22" s="20">
        <v>15000.0</v>
      </c>
      <c r="AO22" s="21">
        <v>1.0</v>
      </c>
      <c r="AP22" s="20">
        <f t="shared" si="9"/>
        <v>15000</v>
      </c>
      <c r="AQ22" s="21">
        <v>0.0</v>
      </c>
      <c r="AR22" s="20">
        <f t="shared" si="15"/>
        <v>0</v>
      </c>
      <c r="AS22" s="22">
        <v>15000.0</v>
      </c>
      <c r="AT22" s="23">
        <v>1.0</v>
      </c>
      <c r="AU22" s="22">
        <f t="shared" si="10"/>
        <v>15000</v>
      </c>
      <c r="AV22" s="23">
        <v>0.0</v>
      </c>
      <c r="AW22" s="22">
        <v>0.0</v>
      </c>
      <c r="AX22" s="18">
        <v>15000.0</v>
      </c>
      <c r="AY22" s="19">
        <v>0.0</v>
      </c>
      <c r="AZ22" s="18">
        <f t="shared" si="11"/>
        <v>0</v>
      </c>
      <c r="BA22" s="19">
        <v>0.0</v>
      </c>
      <c r="BB22" s="18">
        <v>0.0</v>
      </c>
      <c r="BC22" s="20">
        <v>15000.0</v>
      </c>
      <c r="BD22" s="21">
        <v>0.0</v>
      </c>
      <c r="BE22" s="20">
        <f t="shared" si="12"/>
        <v>0</v>
      </c>
      <c r="BF22" s="21">
        <v>0.0</v>
      </c>
      <c r="BG22" s="20">
        <v>0.0</v>
      </c>
      <c r="BH22" s="22">
        <v>15000.0</v>
      </c>
      <c r="BI22" s="23">
        <v>2.0</v>
      </c>
      <c r="BJ22" s="22">
        <f t="shared" si="13"/>
        <v>30000</v>
      </c>
      <c r="BK22" s="23">
        <v>0.0</v>
      </c>
      <c r="BL22" s="22">
        <v>0.0</v>
      </c>
      <c r="BM22" s="18">
        <v>15000.0</v>
      </c>
      <c r="BN22" s="19">
        <v>0.0</v>
      </c>
      <c r="BO22" s="18">
        <f t="shared" si="14"/>
        <v>0</v>
      </c>
      <c r="BP22" s="19">
        <v>0.0</v>
      </c>
      <c r="BQ22" s="18">
        <v>0.0</v>
      </c>
    </row>
    <row r="23" ht="15.75" customHeight="1">
      <c r="A23" s="15" t="s">
        <v>27</v>
      </c>
      <c r="B23" s="16">
        <v>15000.0</v>
      </c>
      <c r="C23" s="17">
        <v>20000.0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17"/>
      <c r="O23" s="22">
        <v>20000.0</v>
      </c>
      <c r="P23" s="23">
        <v>0.0</v>
      </c>
      <c r="Q23" s="22">
        <f t="shared" si="3"/>
        <v>0</v>
      </c>
      <c r="R23" s="23">
        <v>0.0</v>
      </c>
      <c r="S23" s="22">
        <f t="shared" si="4"/>
        <v>0</v>
      </c>
      <c r="T23" s="18">
        <v>20000.0</v>
      </c>
      <c r="U23" s="19">
        <v>0.0</v>
      </c>
      <c r="V23" s="18">
        <f t="shared" si="5"/>
        <v>0</v>
      </c>
      <c r="W23" s="19">
        <v>0.0</v>
      </c>
      <c r="X23" s="18">
        <v>0.0</v>
      </c>
      <c r="Y23" s="20">
        <v>20000.0</v>
      </c>
      <c r="Z23" s="21">
        <v>0.0</v>
      </c>
      <c r="AA23" s="20">
        <f t="shared" si="6"/>
        <v>0</v>
      </c>
      <c r="AB23" s="21">
        <v>0.0</v>
      </c>
      <c r="AC23" s="20">
        <v>0.0</v>
      </c>
      <c r="AD23" s="22">
        <v>20000.0</v>
      </c>
      <c r="AE23" s="23">
        <v>1.0</v>
      </c>
      <c r="AF23" s="22">
        <f t="shared" si="7"/>
        <v>20000</v>
      </c>
      <c r="AG23" s="23">
        <v>0.0</v>
      </c>
      <c r="AH23" s="22">
        <v>0.0</v>
      </c>
      <c r="AI23" s="18">
        <v>20000.0</v>
      </c>
      <c r="AJ23" s="19">
        <v>0.0</v>
      </c>
      <c r="AK23" s="18">
        <f t="shared" si="8"/>
        <v>0</v>
      </c>
      <c r="AL23" s="19">
        <v>1.0</v>
      </c>
      <c r="AM23" s="18">
        <v>18000.0</v>
      </c>
      <c r="AN23" s="20">
        <v>20000.0</v>
      </c>
      <c r="AO23" s="21">
        <v>0.0</v>
      </c>
      <c r="AP23" s="20">
        <f t="shared" si="9"/>
        <v>0</v>
      </c>
      <c r="AQ23" s="21">
        <v>0.0</v>
      </c>
      <c r="AR23" s="20">
        <f t="shared" si="15"/>
        <v>0</v>
      </c>
      <c r="AS23" s="22">
        <v>20000.0</v>
      </c>
      <c r="AT23" s="23">
        <v>4.0</v>
      </c>
      <c r="AU23" s="22">
        <f t="shared" si="10"/>
        <v>80000</v>
      </c>
      <c r="AV23" s="23">
        <v>0.0</v>
      </c>
      <c r="AW23" s="22">
        <v>0.0</v>
      </c>
      <c r="AX23" s="18">
        <v>20000.0</v>
      </c>
      <c r="AY23" s="19">
        <v>0.0</v>
      </c>
      <c r="AZ23" s="18">
        <f t="shared" si="11"/>
        <v>0</v>
      </c>
      <c r="BA23" s="19">
        <v>0.0</v>
      </c>
      <c r="BB23" s="18">
        <v>0.0</v>
      </c>
      <c r="BC23" s="20">
        <v>20000.0</v>
      </c>
      <c r="BD23" s="21">
        <v>0.0</v>
      </c>
      <c r="BE23" s="20">
        <f t="shared" si="12"/>
        <v>0</v>
      </c>
      <c r="BF23" s="21">
        <v>0.0</v>
      </c>
      <c r="BG23" s="20">
        <v>0.0</v>
      </c>
      <c r="BH23" s="22">
        <v>20000.0</v>
      </c>
      <c r="BI23" s="23">
        <v>0.0</v>
      </c>
      <c r="BJ23" s="22">
        <f t="shared" si="13"/>
        <v>0</v>
      </c>
      <c r="BK23" s="23">
        <v>0.0</v>
      </c>
      <c r="BL23" s="22">
        <v>0.0</v>
      </c>
      <c r="BM23" s="18">
        <v>20000.0</v>
      </c>
      <c r="BN23" s="19">
        <v>0.0</v>
      </c>
      <c r="BO23" s="18">
        <f t="shared" si="14"/>
        <v>0</v>
      </c>
      <c r="BP23" s="19">
        <v>0.0</v>
      </c>
      <c r="BQ23" s="18">
        <v>0.0</v>
      </c>
    </row>
    <row r="24" ht="15.75" customHeight="1">
      <c r="A24" s="15" t="s">
        <v>28</v>
      </c>
      <c r="B24" s="16">
        <v>22000.0</v>
      </c>
      <c r="C24" s="17">
        <v>30000.0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17"/>
      <c r="T24" s="18">
        <v>30000.0</v>
      </c>
      <c r="U24" s="19">
        <v>1.0</v>
      </c>
      <c r="V24" s="18">
        <f t="shared" si="5"/>
        <v>30000</v>
      </c>
      <c r="W24" s="19">
        <v>0.0</v>
      </c>
      <c r="X24" s="18">
        <v>0.0</v>
      </c>
      <c r="Y24" s="20">
        <v>30000.0</v>
      </c>
      <c r="Z24" s="21">
        <v>2.0</v>
      </c>
      <c r="AA24" s="20">
        <f t="shared" si="6"/>
        <v>60000</v>
      </c>
      <c r="AB24" s="21">
        <v>0.0</v>
      </c>
      <c r="AC24" s="20">
        <v>0.0</v>
      </c>
      <c r="AD24" s="22">
        <v>30000.0</v>
      </c>
      <c r="AE24" s="23">
        <v>1.0</v>
      </c>
      <c r="AF24" s="22">
        <f t="shared" si="7"/>
        <v>30000</v>
      </c>
      <c r="AG24" s="23">
        <v>0.0</v>
      </c>
      <c r="AH24" s="22">
        <v>0.0</v>
      </c>
      <c r="AI24" s="18">
        <v>30000.0</v>
      </c>
      <c r="AJ24" s="19">
        <v>1.0</v>
      </c>
      <c r="AK24" s="18">
        <f t="shared" si="8"/>
        <v>30000</v>
      </c>
      <c r="AL24" s="19">
        <v>0.0</v>
      </c>
      <c r="AM24" s="18">
        <v>0.0</v>
      </c>
      <c r="AN24" s="20">
        <v>30000.0</v>
      </c>
      <c r="AO24" s="21">
        <v>0.0</v>
      </c>
      <c r="AP24" s="20">
        <f t="shared" si="9"/>
        <v>0</v>
      </c>
      <c r="AQ24" s="21">
        <v>0.0</v>
      </c>
      <c r="AR24" s="20">
        <f t="shared" si="15"/>
        <v>0</v>
      </c>
      <c r="AS24" s="22">
        <v>30000.0</v>
      </c>
      <c r="AT24" s="23">
        <v>7.0</v>
      </c>
      <c r="AU24" s="22">
        <f t="shared" si="10"/>
        <v>210000</v>
      </c>
      <c r="AV24" s="23">
        <v>0.0</v>
      </c>
      <c r="AW24" s="22">
        <v>0.0</v>
      </c>
      <c r="AX24" s="18">
        <v>30000.0</v>
      </c>
      <c r="AY24" s="19">
        <v>0.0</v>
      </c>
      <c r="AZ24" s="18">
        <f t="shared" si="11"/>
        <v>0</v>
      </c>
      <c r="BA24" s="19">
        <v>0.0</v>
      </c>
      <c r="BB24" s="18">
        <v>0.0</v>
      </c>
      <c r="BC24" s="20">
        <v>30000.0</v>
      </c>
      <c r="BD24" s="21">
        <v>0.0</v>
      </c>
      <c r="BE24" s="20">
        <f t="shared" si="12"/>
        <v>0</v>
      </c>
      <c r="BF24" s="21">
        <v>0.0</v>
      </c>
      <c r="BG24" s="20">
        <v>0.0</v>
      </c>
      <c r="BH24" s="22">
        <v>30000.0</v>
      </c>
      <c r="BI24" s="23">
        <v>0.0</v>
      </c>
      <c r="BJ24" s="22">
        <f t="shared" si="13"/>
        <v>0</v>
      </c>
      <c r="BK24" s="23">
        <v>0.0</v>
      </c>
      <c r="BL24" s="22">
        <v>0.0</v>
      </c>
      <c r="BM24" s="18">
        <v>30000.0</v>
      </c>
      <c r="BN24" s="19">
        <v>0.0</v>
      </c>
      <c r="BO24" s="18">
        <f t="shared" si="14"/>
        <v>0</v>
      </c>
      <c r="BP24" s="19">
        <v>0.0</v>
      </c>
      <c r="BQ24" s="18">
        <v>0.0</v>
      </c>
    </row>
    <row r="25" ht="15.75" customHeight="1">
      <c r="A25" s="15" t="s">
        <v>29</v>
      </c>
      <c r="B25" s="16">
        <v>21000.0</v>
      </c>
      <c r="C25" s="17">
        <v>30000.0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18">
        <v>30000.0</v>
      </c>
      <c r="U25" s="19">
        <v>0.0</v>
      </c>
      <c r="V25" s="18">
        <f t="shared" si="5"/>
        <v>0</v>
      </c>
      <c r="W25" s="19">
        <v>1.0</v>
      </c>
      <c r="X25" s="18">
        <v>20000.0</v>
      </c>
      <c r="Y25" s="20">
        <v>25000.0</v>
      </c>
      <c r="Z25" s="21">
        <v>2.0</v>
      </c>
      <c r="AA25" s="20">
        <f t="shared" si="6"/>
        <v>50000</v>
      </c>
      <c r="AB25" s="21">
        <v>0.0</v>
      </c>
      <c r="AC25" s="20">
        <v>0.0</v>
      </c>
      <c r="AD25" s="22">
        <v>30000.0</v>
      </c>
      <c r="AE25" s="23">
        <v>0.0</v>
      </c>
      <c r="AF25" s="22">
        <f t="shared" si="7"/>
        <v>0</v>
      </c>
      <c r="AG25" s="23">
        <v>0.0</v>
      </c>
      <c r="AH25" s="22">
        <v>0.0</v>
      </c>
      <c r="AI25" s="18">
        <v>30000.0</v>
      </c>
      <c r="AJ25" s="19">
        <v>1.0</v>
      </c>
      <c r="AK25" s="18">
        <f t="shared" si="8"/>
        <v>30000</v>
      </c>
      <c r="AL25" s="19">
        <v>0.0</v>
      </c>
      <c r="AM25" s="18">
        <v>0.0</v>
      </c>
      <c r="AN25" s="20">
        <v>30000.0</v>
      </c>
      <c r="AO25" s="21">
        <v>0.0</v>
      </c>
      <c r="AP25" s="20">
        <f t="shared" si="9"/>
        <v>0</v>
      </c>
      <c r="AQ25" s="21">
        <v>0.0</v>
      </c>
      <c r="AR25" s="20">
        <f t="shared" si="15"/>
        <v>0</v>
      </c>
      <c r="AS25" s="22">
        <v>30000.0</v>
      </c>
      <c r="AT25" s="23">
        <v>0.0</v>
      </c>
      <c r="AU25" s="22">
        <f t="shared" si="10"/>
        <v>0</v>
      </c>
      <c r="AV25" s="23">
        <v>0.0</v>
      </c>
      <c r="AW25" s="22">
        <v>0.0</v>
      </c>
      <c r="AX25" s="18">
        <v>30000.0</v>
      </c>
      <c r="AY25" s="19">
        <v>0.0</v>
      </c>
      <c r="AZ25" s="18">
        <f t="shared" si="11"/>
        <v>0</v>
      </c>
      <c r="BA25" s="19">
        <v>0.0</v>
      </c>
      <c r="BB25" s="18">
        <v>0.0</v>
      </c>
      <c r="BC25" s="20">
        <v>30000.0</v>
      </c>
      <c r="BD25" s="21">
        <v>0.0</v>
      </c>
      <c r="BE25" s="20">
        <f t="shared" si="12"/>
        <v>0</v>
      </c>
      <c r="BF25" s="21">
        <v>0.0</v>
      </c>
      <c r="BG25" s="20">
        <v>0.0</v>
      </c>
      <c r="BH25" s="22">
        <v>30000.0</v>
      </c>
      <c r="BI25" s="23">
        <v>0.0</v>
      </c>
      <c r="BJ25" s="22">
        <f t="shared" si="13"/>
        <v>0</v>
      </c>
      <c r="BK25" s="23">
        <v>0.0</v>
      </c>
      <c r="BL25" s="22">
        <v>0.0</v>
      </c>
      <c r="BM25" s="18">
        <v>30000.0</v>
      </c>
      <c r="BN25" s="19">
        <v>0.0</v>
      </c>
      <c r="BO25" s="18">
        <f t="shared" si="14"/>
        <v>0</v>
      </c>
      <c r="BP25" s="19">
        <v>0.0</v>
      </c>
      <c r="BQ25" s="18">
        <v>0.0</v>
      </c>
    </row>
    <row r="26" ht="15.75" customHeight="1">
      <c r="A26" s="15" t="s">
        <v>30</v>
      </c>
      <c r="B26" s="16">
        <v>0.0</v>
      </c>
      <c r="C26" s="17">
        <v>7000.0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2">
        <v>7000.0</v>
      </c>
      <c r="AE26" s="23">
        <v>6.0</v>
      </c>
      <c r="AF26" s="22">
        <f t="shared" si="7"/>
        <v>42000</v>
      </c>
      <c r="AG26" s="23">
        <v>0.0</v>
      </c>
      <c r="AH26" s="22">
        <v>0.0</v>
      </c>
      <c r="AI26" s="18">
        <v>7000.0</v>
      </c>
      <c r="AJ26" s="19">
        <v>1.0</v>
      </c>
      <c r="AK26" s="18">
        <f t="shared" si="8"/>
        <v>7000</v>
      </c>
      <c r="AL26" s="19">
        <v>0.0</v>
      </c>
      <c r="AM26" s="18">
        <v>0.0</v>
      </c>
      <c r="AN26" s="20">
        <v>7000.0</v>
      </c>
      <c r="AO26" s="21">
        <v>0.0</v>
      </c>
      <c r="AP26" s="20">
        <f t="shared" si="9"/>
        <v>0</v>
      </c>
      <c r="AQ26" s="21">
        <v>0.0</v>
      </c>
      <c r="AR26" s="20">
        <f t="shared" si="15"/>
        <v>0</v>
      </c>
      <c r="AS26" s="22">
        <v>7000.0</v>
      </c>
      <c r="AT26" s="23">
        <v>0.0</v>
      </c>
      <c r="AU26" s="22">
        <f t="shared" si="10"/>
        <v>0</v>
      </c>
      <c r="AV26" s="23">
        <v>0.0</v>
      </c>
      <c r="AW26" s="22">
        <v>0.0</v>
      </c>
      <c r="AX26" s="18">
        <v>7000.0</v>
      </c>
      <c r="AY26" s="19">
        <v>0.0</v>
      </c>
      <c r="AZ26" s="18">
        <f t="shared" si="11"/>
        <v>0</v>
      </c>
      <c r="BA26" s="19">
        <v>0.0</v>
      </c>
      <c r="BB26" s="18">
        <v>0.0</v>
      </c>
      <c r="BC26" s="20">
        <v>7000.0</v>
      </c>
      <c r="BD26" s="21">
        <v>2.0</v>
      </c>
      <c r="BE26" s="20">
        <f t="shared" si="12"/>
        <v>14000</v>
      </c>
      <c r="BF26" s="21">
        <v>0.0</v>
      </c>
      <c r="BG26" s="20">
        <v>0.0</v>
      </c>
      <c r="BH26" s="22">
        <v>7000.0</v>
      </c>
      <c r="BI26" s="23">
        <v>0.0</v>
      </c>
      <c r="BJ26" s="22">
        <f t="shared" si="13"/>
        <v>0</v>
      </c>
      <c r="BK26" s="23">
        <v>0.0</v>
      </c>
      <c r="BL26" s="22">
        <v>0.0</v>
      </c>
      <c r="BM26" s="18">
        <v>7000.0</v>
      </c>
      <c r="BN26" s="19">
        <v>0.0</v>
      </c>
      <c r="BO26" s="18">
        <f t="shared" si="14"/>
        <v>0</v>
      </c>
      <c r="BP26" s="19">
        <v>0.0</v>
      </c>
      <c r="BQ26" s="18">
        <v>0.0</v>
      </c>
    </row>
    <row r="27" ht="15.75" customHeight="1">
      <c r="A27" s="15" t="s">
        <v>31</v>
      </c>
      <c r="B27" s="16">
        <v>0.0</v>
      </c>
      <c r="C27" s="17">
        <v>20000.0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2">
        <v>20000.0</v>
      </c>
      <c r="AE27" s="23">
        <v>1.0</v>
      </c>
      <c r="AF27" s="22">
        <f t="shared" si="7"/>
        <v>20000</v>
      </c>
      <c r="AG27" s="23">
        <v>0.0</v>
      </c>
      <c r="AH27" s="22">
        <v>0.0</v>
      </c>
      <c r="AI27" s="18">
        <v>20000.0</v>
      </c>
      <c r="AJ27" s="19">
        <v>0.0</v>
      </c>
      <c r="AK27" s="18">
        <f t="shared" si="8"/>
        <v>0</v>
      </c>
      <c r="AL27" s="19">
        <v>0.0</v>
      </c>
      <c r="AM27" s="18">
        <v>0.0</v>
      </c>
      <c r="AN27" s="20">
        <v>20000.0</v>
      </c>
      <c r="AO27" s="21">
        <v>0.0</v>
      </c>
      <c r="AP27" s="20">
        <f t="shared" si="9"/>
        <v>0</v>
      </c>
      <c r="AQ27" s="21">
        <v>0.0</v>
      </c>
      <c r="AR27" s="20">
        <f t="shared" si="15"/>
        <v>0</v>
      </c>
      <c r="AS27" s="22">
        <v>20000.0</v>
      </c>
      <c r="AT27" s="23">
        <v>0.0</v>
      </c>
      <c r="AU27" s="22">
        <f t="shared" si="10"/>
        <v>0</v>
      </c>
      <c r="AV27" s="23">
        <v>0.0</v>
      </c>
      <c r="AW27" s="22">
        <v>0.0</v>
      </c>
      <c r="AX27" s="18">
        <v>20000.0</v>
      </c>
      <c r="AY27" s="19">
        <v>0.0</v>
      </c>
      <c r="AZ27" s="18">
        <f t="shared" si="11"/>
        <v>0</v>
      </c>
      <c r="BA27" s="19">
        <v>0.0</v>
      </c>
      <c r="BB27" s="18">
        <v>0.0</v>
      </c>
      <c r="BC27" s="20">
        <v>20000.0</v>
      </c>
      <c r="BD27" s="21">
        <v>0.0</v>
      </c>
      <c r="BE27" s="20">
        <f t="shared" si="12"/>
        <v>0</v>
      </c>
      <c r="BF27" s="21">
        <v>0.0</v>
      </c>
      <c r="BG27" s="20">
        <v>0.0</v>
      </c>
      <c r="BH27" s="22">
        <v>20000.0</v>
      </c>
      <c r="BI27" s="23">
        <v>0.0</v>
      </c>
      <c r="BJ27" s="22">
        <f t="shared" si="13"/>
        <v>0</v>
      </c>
      <c r="BK27" s="23">
        <v>0.0</v>
      </c>
      <c r="BL27" s="22">
        <v>0.0</v>
      </c>
      <c r="BM27" s="18">
        <v>20000.0</v>
      </c>
      <c r="BN27" s="19">
        <v>0.0</v>
      </c>
      <c r="BO27" s="18">
        <f t="shared" si="14"/>
        <v>0</v>
      </c>
      <c r="BP27" s="19">
        <v>0.0</v>
      </c>
      <c r="BQ27" s="18">
        <v>0.0</v>
      </c>
    </row>
    <row r="28" ht="15.75" customHeight="1">
      <c r="A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</row>
    <row r="29" ht="15.75" customHeight="1">
      <c r="A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</row>
    <row r="30" ht="15.75" customHeight="1">
      <c r="A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</row>
    <row r="31" ht="15.75" customHeight="1">
      <c r="A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</row>
    <row r="32" ht="15.75" customHeight="1">
      <c r="A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</row>
    <row r="33" ht="15.75" customHeight="1">
      <c r="A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</row>
    <row r="34" ht="15.75" customHeight="1">
      <c r="A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</row>
    <row r="35" ht="15.75" customHeight="1">
      <c r="A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</row>
    <row r="36" ht="15.75" customHeight="1">
      <c r="A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</row>
    <row r="37" ht="15.75" customHeight="1">
      <c r="A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</row>
    <row r="38" ht="15.75" customHeight="1">
      <c r="A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</row>
    <row r="39" ht="15.75" customHeight="1">
      <c r="A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</row>
    <row r="40" ht="15.75" customHeight="1">
      <c r="A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</row>
    <row r="41" ht="15.75" customHeight="1">
      <c r="A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</row>
    <row r="42" ht="15.75" customHeight="1">
      <c r="A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</row>
    <row r="43" ht="15.75" customHeight="1">
      <c r="A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</row>
    <row r="44" ht="15.75" customHeight="1">
      <c r="A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</row>
    <row r="45" ht="15.75" customHeight="1">
      <c r="A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</row>
    <row r="46" ht="15.75" customHeight="1">
      <c r="A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</row>
    <row r="47" ht="15.75" customHeight="1">
      <c r="A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</row>
    <row r="48" ht="15.75" customHeight="1">
      <c r="A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</row>
    <row r="49" ht="15.75" customHeight="1">
      <c r="A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</row>
    <row r="50" ht="15.75" customHeight="1">
      <c r="A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</row>
    <row r="51" ht="15.75" customHeight="1">
      <c r="A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</row>
    <row r="52" ht="15.75" customHeight="1">
      <c r="A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</row>
    <row r="53" ht="15.75" customHeight="1">
      <c r="A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</row>
    <row r="54" ht="15.75" customHeight="1">
      <c r="A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</row>
    <row r="55" ht="15.75" customHeight="1">
      <c r="A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</row>
    <row r="56" ht="15.75" customHeight="1">
      <c r="A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</row>
    <row r="57" ht="15.75" customHeight="1">
      <c r="A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</row>
    <row r="58" ht="15.75" customHeight="1">
      <c r="A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</row>
    <row r="59" ht="15.75" customHeight="1">
      <c r="A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</row>
    <row r="60" ht="15.75" customHeight="1">
      <c r="A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</row>
    <row r="61" ht="15.75" customHeight="1">
      <c r="A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</row>
    <row r="62" ht="15.75" customHeight="1">
      <c r="A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</row>
    <row r="63" ht="15.75" customHeight="1">
      <c r="A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</row>
    <row r="64" ht="15.75" customHeight="1">
      <c r="A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</row>
    <row r="65" ht="15.75" customHeight="1">
      <c r="A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</row>
    <row r="66" ht="15.75" customHeight="1">
      <c r="A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</row>
    <row r="67" ht="15.75" customHeight="1">
      <c r="A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</row>
    <row r="68" ht="15.75" customHeight="1">
      <c r="A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</row>
    <row r="69" ht="15.75" customHeight="1">
      <c r="A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</row>
    <row r="70" ht="15.75" customHeight="1">
      <c r="A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</row>
    <row r="71" ht="15.75" customHeight="1">
      <c r="A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</row>
    <row r="72" ht="15.75" customHeight="1">
      <c r="A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</row>
    <row r="73" ht="15.75" customHeight="1">
      <c r="A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</row>
    <row r="74" ht="15.75" customHeight="1">
      <c r="A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</row>
    <row r="75" ht="15.75" customHeight="1">
      <c r="A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</row>
    <row r="76" ht="15.75" customHeight="1">
      <c r="A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</row>
    <row r="77" ht="15.75" customHeight="1">
      <c r="A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</row>
    <row r="78" ht="15.75" customHeight="1">
      <c r="A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</row>
    <row r="79" ht="15.75" customHeight="1">
      <c r="A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</row>
    <row r="80" ht="15.75" customHeight="1">
      <c r="A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</row>
    <row r="81" ht="15.75" customHeight="1">
      <c r="A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</row>
    <row r="82" ht="15.75" customHeight="1">
      <c r="A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</row>
    <row r="83" ht="15.75" customHeight="1">
      <c r="A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</row>
    <row r="84" ht="15.75" customHeight="1">
      <c r="A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</row>
    <row r="85" ht="15.75" customHeight="1">
      <c r="A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</row>
    <row r="86" ht="15.75" customHeight="1">
      <c r="A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</row>
    <row r="87" ht="15.75" customHeight="1">
      <c r="A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</row>
    <row r="88" ht="15.75" customHeight="1">
      <c r="A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</row>
    <row r="89" ht="15.75" customHeight="1">
      <c r="A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</row>
    <row r="90" ht="15.75" customHeight="1">
      <c r="A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</row>
    <row r="91" ht="15.75" customHeight="1">
      <c r="A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</row>
    <row r="92" ht="15.75" customHeight="1">
      <c r="A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</row>
    <row r="93" ht="15.75" customHeight="1">
      <c r="A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</row>
    <row r="94" ht="15.75" customHeight="1">
      <c r="A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</row>
    <row r="95" ht="15.75" customHeight="1">
      <c r="A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</row>
    <row r="96" ht="15.75" customHeight="1">
      <c r="A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</row>
    <row r="97" ht="15.75" customHeight="1">
      <c r="A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</row>
    <row r="98" ht="15.75" customHeight="1">
      <c r="A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</row>
    <row r="99" ht="15.75" customHeight="1">
      <c r="A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</row>
    <row r="100" ht="15.75" customHeight="1">
      <c r="A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</row>
    <row r="101" ht="15.75" customHeight="1">
      <c r="A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</row>
    <row r="102" ht="15.75" customHeight="1">
      <c r="A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</row>
    <row r="103" ht="15.75" customHeight="1">
      <c r="A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</row>
    <row r="104" ht="15.75" customHeight="1">
      <c r="A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</row>
    <row r="105" ht="15.75" customHeight="1">
      <c r="A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</row>
    <row r="106" ht="15.75" customHeight="1">
      <c r="A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</row>
    <row r="107" ht="15.75" customHeight="1">
      <c r="A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</row>
    <row r="108" ht="15.75" customHeight="1">
      <c r="A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</row>
    <row r="109" ht="15.75" customHeight="1">
      <c r="A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</row>
    <row r="110" ht="15.75" customHeight="1">
      <c r="A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</row>
    <row r="111" ht="15.75" customHeight="1">
      <c r="A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</row>
    <row r="112" ht="15.75" customHeight="1">
      <c r="A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</row>
    <row r="113" ht="15.75" customHeight="1">
      <c r="A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</row>
    <row r="114" ht="15.75" customHeight="1">
      <c r="A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</row>
    <row r="115" ht="15.75" customHeight="1">
      <c r="A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</row>
    <row r="116" ht="15.75" customHeight="1">
      <c r="A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</row>
    <row r="117" ht="15.75" customHeight="1">
      <c r="A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</row>
    <row r="118" ht="15.75" customHeight="1">
      <c r="A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</row>
    <row r="119" ht="15.75" customHeight="1">
      <c r="A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</row>
    <row r="120" ht="15.75" customHeight="1">
      <c r="A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</row>
    <row r="121" ht="15.75" customHeight="1">
      <c r="A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</row>
    <row r="122" ht="15.75" customHeight="1">
      <c r="A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</row>
    <row r="123" ht="15.75" customHeight="1">
      <c r="A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</row>
    <row r="124" ht="15.75" customHeight="1">
      <c r="A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</row>
    <row r="125" ht="15.75" customHeight="1">
      <c r="A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</row>
    <row r="126" ht="15.75" customHeight="1">
      <c r="A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</row>
    <row r="127" ht="15.75" customHeight="1">
      <c r="A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</row>
    <row r="128" ht="15.75" customHeight="1">
      <c r="A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</row>
    <row r="129" ht="15.75" customHeight="1">
      <c r="A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</row>
    <row r="130" ht="15.75" customHeight="1">
      <c r="A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</row>
    <row r="131" ht="15.75" customHeight="1">
      <c r="A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</row>
    <row r="132" ht="15.75" customHeight="1">
      <c r="A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</row>
    <row r="133" ht="15.75" customHeight="1">
      <c r="A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</row>
    <row r="134" ht="15.75" customHeight="1">
      <c r="A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</row>
    <row r="135" ht="15.75" customHeight="1">
      <c r="A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</row>
    <row r="136" ht="15.75" customHeight="1">
      <c r="A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</row>
    <row r="137" ht="15.75" customHeight="1">
      <c r="A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</row>
    <row r="138" ht="15.75" customHeight="1">
      <c r="A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</row>
    <row r="139" ht="15.75" customHeight="1">
      <c r="A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</row>
    <row r="140" ht="15.75" customHeight="1">
      <c r="A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</row>
    <row r="141" ht="15.75" customHeight="1">
      <c r="A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</row>
    <row r="142" ht="15.75" customHeight="1">
      <c r="A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</row>
    <row r="143" ht="15.75" customHeight="1">
      <c r="A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</row>
    <row r="144" ht="15.75" customHeight="1">
      <c r="A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</row>
    <row r="145" ht="15.75" customHeight="1">
      <c r="A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</row>
    <row r="146" ht="15.75" customHeight="1">
      <c r="A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</row>
    <row r="147" ht="15.75" customHeight="1">
      <c r="A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</row>
    <row r="148" ht="15.75" customHeight="1">
      <c r="A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</row>
    <row r="149" ht="15.75" customHeight="1">
      <c r="A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</row>
    <row r="150" ht="15.75" customHeight="1">
      <c r="A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</row>
    <row r="151" ht="15.75" customHeight="1">
      <c r="A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</row>
    <row r="152" ht="15.75" customHeight="1">
      <c r="A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</row>
    <row r="153" ht="15.75" customHeight="1">
      <c r="A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</row>
    <row r="154" ht="15.75" customHeight="1">
      <c r="A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</row>
    <row r="155" ht="15.75" customHeight="1">
      <c r="A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</row>
    <row r="156" ht="15.75" customHeight="1">
      <c r="A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</row>
    <row r="157" ht="15.75" customHeight="1">
      <c r="A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</row>
    <row r="158" ht="15.75" customHeight="1">
      <c r="A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</row>
    <row r="159" ht="15.75" customHeight="1">
      <c r="A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</row>
    <row r="160" ht="15.75" customHeight="1">
      <c r="A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</row>
    <row r="161" ht="15.75" customHeight="1">
      <c r="A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</row>
    <row r="162" ht="15.75" customHeight="1">
      <c r="A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</row>
    <row r="163" ht="15.75" customHeight="1">
      <c r="A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</row>
    <row r="164" ht="15.75" customHeight="1">
      <c r="A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</row>
    <row r="165" ht="15.75" customHeight="1">
      <c r="A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</row>
    <row r="166" ht="15.75" customHeight="1">
      <c r="A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</row>
    <row r="167" ht="15.75" customHeight="1">
      <c r="A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</row>
    <row r="168" ht="15.75" customHeight="1">
      <c r="A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</row>
    <row r="169" ht="15.75" customHeight="1">
      <c r="A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</row>
    <row r="170" ht="15.75" customHeight="1">
      <c r="A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</row>
    <row r="171" ht="15.75" customHeight="1">
      <c r="A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</row>
    <row r="172" ht="15.75" customHeight="1">
      <c r="A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</row>
    <row r="173" ht="15.75" customHeight="1">
      <c r="A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</row>
    <row r="174" ht="15.75" customHeight="1">
      <c r="A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</row>
    <row r="175" ht="15.75" customHeight="1">
      <c r="A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</row>
    <row r="176" ht="15.75" customHeight="1">
      <c r="A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</row>
    <row r="177" ht="15.75" customHeight="1">
      <c r="A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</row>
    <row r="178" ht="15.75" customHeight="1">
      <c r="A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</row>
    <row r="179" ht="15.75" customHeight="1">
      <c r="A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</row>
    <row r="180" ht="15.75" customHeight="1">
      <c r="A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</row>
    <row r="181" ht="15.75" customHeight="1">
      <c r="A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</row>
    <row r="182" ht="15.75" customHeight="1">
      <c r="A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</row>
    <row r="183" ht="15.75" customHeight="1">
      <c r="A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</row>
    <row r="184" ht="15.75" customHeight="1">
      <c r="A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</row>
    <row r="185" ht="15.75" customHeight="1">
      <c r="A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</row>
    <row r="186" ht="15.75" customHeight="1">
      <c r="A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</row>
    <row r="187" ht="15.75" customHeight="1">
      <c r="A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</row>
    <row r="188" ht="15.75" customHeight="1">
      <c r="A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</row>
    <row r="189" ht="15.75" customHeight="1">
      <c r="A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</row>
    <row r="190" ht="15.75" customHeight="1">
      <c r="A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</row>
    <row r="191" ht="15.75" customHeight="1">
      <c r="A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</row>
    <row r="192" ht="15.75" customHeight="1">
      <c r="A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</row>
    <row r="193" ht="15.75" customHeight="1">
      <c r="A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</row>
    <row r="194" ht="15.75" customHeight="1">
      <c r="A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</row>
    <row r="195" ht="15.75" customHeight="1">
      <c r="A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</row>
    <row r="196" ht="15.75" customHeight="1">
      <c r="A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</row>
    <row r="197" ht="15.75" customHeight="1">
      <c r="A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</row>
    <row r="198" ht="15.75" customHeight="1">
      <c r="A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</row>
    <row r="199" ht="15.75" customHeight="1">
      <c r="A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</row>
    <row r="200" ht="15.75" customHeight="1">
      <c r="A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</row>
    <row r="201" ht="15.75" customHeight="1">
      <c r="A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</row>
    <row r="202" ht="15.75" customHeight="1">
      <c r="A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</row>
    <row r="203" ht="15.75" customHeight="1">
      <c r="A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</row>
    <row r="204" ht="15.75" customHeight="1">
      <c r="A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</row>
    <row r="205" ht="15.75" customHeight="1">
      <c r="A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</row>
    <row r="206" ht="15.75" customHeight="1">
      <c r="A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</row>
    <row r="207" ht="15.75" customHeight="1">
      <c r="A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</row>
    <row r="208" ht="15.75" customHeight="1">
      <c r="A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</row>
    <row r="209" ht="15.75" customHeight="1">
      <c r="A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</row>
    <row r="210" ht="15.75" customHeight="1">
      <c r="A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</row>
    <row r="211" ht="15.75" customHeight="1">
      <c r="A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</row>
    <row r="212" ht="15.75" customHeight="1">
      <c r="A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</row>
    <row r="213" ht="15.75" customHeight="1">
      <c r="A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</row>
    <row r="214" ht="15.75" customHeight="1">
      <c r="A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</row>
    <row r="215" ht="15.75" customHeight="1">
      <c r="A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</row>
    <row r="216" ht="15.75" customHeight="1">
      <c r="A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</row>
    <row r="217" ht="15.75" customHeight="1">
      <c r="A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</row>
    <row r="218" ht="15.75" customHeight="1">
      <c r="A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</row>
    <row r="219" ht="15.75" customHeight="1">
      <c r="A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</row>
    <row r="220" ht="15.75" customHeight="1">
      <c r="A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</row>
    <row r="221" ht="15.75" customHeight="1">
      <c r="A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</row>
    <row r="222" ht="15.75" customHeight="1">
      <c r="A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</row>
    <row r="223" ht="15.75" customHeight="1">
      <c r="A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</row>
    <row r="224" ht="15.75" customHeight="1">
      <c r="A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</row>
    <row r="225" ht="15.75" customHeight="1">
      <c r="A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</row>
    <row r="226" ht="15.75" customHeight="1">
      <c r="A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</row>
    <row r="227" ht="15.75" customHeight="1">
      <c r="A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</row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13"/>
    <col customWidth="1" min="2" max="2" width="12.75"/>
    <col customWidth="1" min="3" max="4" width="11.0"/>
    <col customWidth="1" min="5" max="6" width="12.63"/>
  </cols>
  <sheetData>
    <row r="1" ht="15.75" customHeight="1">
      <c r="A1" s="27" t="s">
        <v>32</v>
      </c>
      <c r="B1" s="28" t="s">
        <v>33</v>
      </c>
      <c r="C1" s="29">
        <v>45246.0</v>
      </c>
      <c r="D1" s="30">
        <v>45247.0</v>
      </c>
      <c r="E1" s="31">
        <v>45250.0</v>
      </c>
      <c r="F1" s="29">
        <v>45253.0</v>
      </c>
      <c r="G1" s="30">
        <v>45254.0</v>
      </c>
      <c r="H1" s="31">
        <v>45255.0</v>
      </c>
      <c r="I1" s="29">
        <v>45256.0</v>
      </c>
      <c r="J1" s="30">
        <v>45261.0</v>
      </c>
      <c r="K1" s="31">
        <v>45263.0</v>
      </c>
      <c r="L1" s="29">
        <v>45267.0</v>
      </c>
      <c r="M1" s="30">
        <v>45270.0</v>
      </c>
      <c r="N1" s="31">
        <v>45272.0</v>
      </c>
      <c r="O1" s="29">
        <v>45274.0</v>
      </c>
      <c r="P1" s="32"/>
      <c r="Q1" s="32"/>
      <c r="R1" s="32"/>
      <c r="S1" s="32"/>
      <c r="T1" s="32"/>
      <c r="U1" s="32"/>
      <c r="V1" s="32"/>
      <c r="W1" s="32"/>
      <c r="X1" s="32"/>
      <c r="Y1" s="32"/>
    </row>
    <row r="2" ht="15.75" customHeight="1">
      <c r="A2" s="33" t="s">
        <v>34</v>
      </c>
      <c r="B2" s="34">
        <f t="shared" ref="B2:B3" si="1">SUM(C2:Y2)</f>
        <v>2894200</v>
      </c>
      <c r="C2" s="35">
        <f>VENTAS!H1</f>
        <v>323000</v>
      </c>
      <c r="D2" s="36">
        <f>VENTAS!N1</f>
        <v>210000</v>
      </c>
      <c r="E2" s="37">
        <f>VENTAS!S1</f>
        <v>56000</v>
      </c>
      <c r="F2" s="35">
        <f>VENTAS!X1</f>
        <v>218200</v>
      </c>
      <c r="G2" s="36">
        <f>VENTAS!AC1</f>
        <v>266000</v>
      </c>
      <c r="H2" s="37">
        <f>VENTAS!AH1</f>
        <v>334000</v>
      </c>
      <c r="I2" s="35">
        <f>VENTAS!AM1</f>
        <v>238000</v>
      </c>
      <c r="J2" s="36">
        <f>VENTAS!AR1</f>
        <v>53000</v>
      </c>
      <c r="K2" s="37">
        <f>VENTAS!AW1</f>
        <v>803000</v>
      </c>
      <c r="L2" s="35">
        <f>VENTAS!BB1</f>
        <v>111000</v>
      </c>
      <c r="M2" s="36">
        <f>VENTAS!BG1</f>
        <v>44000</v>
      </c>
      <c r="N2" s="37">
        <f>VENTAS!BL1</f>
        <v>110000</v>
      </c>
      <c r="O2" s="35">
        <f>VENTAS!BQ1</f>
        <v>128000</v>
      </c>
      <c r="P2" s="32"/>
      <c r="Q2" s="32"/>
      <c r="R2" s="32"/>
      <c r="S2" s="32"/>
      <c r="T2" s="32"/>
      <c r="U2" s="32"/>
      <c r="V2" s="32"/>
      <c r="W2" s="32"/>
      <c r="X2" s="32"/>
      <c r="Y2" s="32"/>
    </row>
    <row r="3" ht="15.75" customHeight="1">
      <c r="A3" s="33" t="s">
        <v>35</v>
      </c>
      <c r="B3" s="34">
        <f t="shared" si="1"/>
        <v>1881100</v>
      </c>
      <c r="C3" s="35">
        <f t="shared" ref="C3:E3" si="2">C28+C31</f>
        <v>221500</v>
      </c>
      <c r="D3" s="36">
        <f t="shared" si="2"/>
        <v>137800</v>
      </c>
      <c r="E3" s="37">
        <f t="shared" si="2"/>
        <v>38500</v>
      </c>
      <c r="F3" s="35">
        <f t="shared" ref="F3:N3" si="3">F28+F31+F33</f>
        <v>134000</v>
      </c>
      <c r="G3" s="36">
        <f t="shared" si="3"/>
        <v>182000</v>
      </c>
      <c r="H3" s="37">
        <f t="shared" si="3"/>
        <v>177200</v>
      </c>
      <c r="I3" s="35">
        <f t="shared" si="3"/>
        <v>165500</v>
      </c>
      <c r="J3" s="36">
        <f t="shared" si="3"/>
        <v>38000</v>
      </c>
      <c r="K3" s="37">
        <f t="shared" si="3"/>
        <v>549900</v>
      </c>
      <c r="L3" s="35">
        <f t="shared" si="3"/>
        <v>73700</v>
      </c>
      <c r="M3" s="36">
        <f t="shared" si="3"/>
        <v>19000</v>
      </c>
      <c r="N3" s="37">
        <f t="shared" si="3"/>
        <v>72000</v>
      </c>
      <c r="O3" s="35">
        <v>72000.0</v>
      </c>
      <c r="P3" s="32"/>
      <c r="Q3" s="32"/>
      <c r="R3" s="32"/>
      <c r="S3" s="32"/>
      <c r="T3" s="32"/>
      <c r="U3" s="32"/>
      <c r="V3" s="32"/>
      <c r="W3" s="32"/>
      <c r="X3" s="32"/>
      <c r="Y3" s="32"/>
    </row>
    <row r="4" ht="15.75" customHeight="1">
      <c r="A4" s="38" t="s">
        <v>36</v>
      </c>
      <c r="B4" s="39">
        <f t="shared" ref="B4:O4" si="4">B2-B3</f>
        <v>1013100</v>
      </c>
      <c r="C4" s="40">
        <f t="shared" si="4"/>
        <v>101500</v>
      </c>
      <c r="D4" s="41">
        <f t="shared" si="4"/>
        <v>72200</v>
      </c>
      <c r="E4" s="42">
        <f t="shared" si="4"/>
        <v>17500</v>
      </c>
      <c r="F4" s="40">
        <f t="shared" si="4"/>
        <v>84200</v>
      </c>
      <c r="G4" s="41">
        <f t="shared" si="4"/>
        <v>84000</v>
      </c>
      <c r="H4" s="42">
        <f t="shared" si="4"/>
        <v>156800</v>
      </c>
      <c r="I4" s="40">
        <f t="shared" si="4"/>
        <v>72500</v>
      </c>
      <c r="J4" s="41">
        <f t="shared" si="4"/>
        <v>15000</v>
      </c>
      <c r="K4" s="42">
        <f t="shared" si="4"/>
        <v>253100</v>
      </c>
      <c r="L4" s="40">
        <f t="shared" si="4"/>
        <v>37300</v>
      </c>
      <c r="M4" s="41">
        <f t="shared" si="4"/>
        <v>25000</v>
      </c>
      <c r="N4" s="42">
        <f t="shared" si="4"/>
        <v>38000</v>
      </c>
      <c r="O4" s="40">
        <f t="shared" si="4"/>
        <v>56000</v>
      </c>
      <c r="P4" s="32"/>
      <c r="Q4" s="32"/>
      <c r="R4" s="32"/>
      <c r="S4" s="32"/>
      <c r="T4" s="32"/>
      <c r="U4" s="32"/>
      <c r="V4" s="32"/>
      <c r="W4" s="32"/>
      <c r="X4" s="32"/>
      <c r="Y4" s="32"/>
    </row>
    <row r="5" ht="15.75" customHeight="1">
      <c r="A5" s="43"/>
      <c r="B5" s="44"/>
      <c r="C5" s="45"/>
      <c r="D5" s="45"/>
      <c r="E5" s="45"/>
      <c r="F5" s="45"/>
      <c r="G5" s="45"/>
      <c r="H5" s="45"/>
      <c r="I5" s="46"/>
      <c r="J5" s="45"/>
      <c r="K5" s="45"/>
      <c r="L5" s="46"/>
      <c r="M5" s="45"/>
      <c r="N5" s="45"/>
      <c r="O5" s="46"/>
    </row>
    <row r="6" ht="15.75" customHeight="1">
      <c r="A6" s="47" t="s">
        <v>37</v>
      </c>
      <c r="B6" s="48" t="s">
        <v>38</v>
      </c>
      <c r="C6" s="29">
        <v>45246.0</v>
      </c>
      <c r="D6" s="30">
        <v>45247.0</v>
      </c>
      <c r="E6" s="31">
        <v>45250.0</v>
      </c>
      <c r="F6" s="29">
        <v>45253.0</v>
      </c>
      <c r="G6" s="30">
        <v>45254.0</v>
      </c>
      <c r="H6" s="31">
        <v>45255.0</v>
      </c>
      <c r="I6" s="29">
        <v>45256.0</v>
      </c>
      <c r="J6" s="30">
        <v>45261.0</v>
      </c>
      <c r="K6" s="31">
        <v>45263.0</v>
      </c>
      <c r="L6" s="29">
        <v>45267.0</v>
      </c>
      <c r="M6" s="30">
        <v>45270.0</v>
      </c>
      <c r="N6" s="31">
        <v>45272.0</v>
      </c>
      <c r="O6" s="29">
        <v>45274.0</v>
      </c>
      <c r="P6" s="32"/>
      <c r="Q6" s="32"/>
      <c r="R6" s="32"/>
      <c r="S6" s="32"/>
      <c r="T6" s="32"/>
      <c r="U6" s="32"/>
      <c r="V6" s="32"/>
      <c r="W6" s="32"/>
      <c r="X6" s="32"/>
      <c r="Y6" s="32"/>
    </row>
    <row r="7" ht="15.75" customHeight="1">
      <c r="A7" s="49" t="s">
        <v>6</v>
      </c>
      <c r="B7" s="17">
        <v>14000.0</v>
      </c>
      <c r="C7" s="24">
        <f>VENTAS!E2+VENTAS!G2</f>
        <v>0</v>
      </c>
      <c r="D7" s="24">
        <f>VENTAS!K2+VENTAS!M2</f>
        <v>1</v>
      </c>
      <c r="E7" s="24">
        <f>VENTAS!P2+VENTAS!R2</f>
        <v>0</v>
      </c>
      <c r="F7" s="50">
        <f>VENTAS!U2+VENTAS!W2</f>
        <v>0</v>
      </c>
      <c r="G7" s="50">
        <f>VENTAS!Z2+VENTAS!AB2</f>
        <v>0</v>
      </c>
      <c r="H7" s="50">
        <f>VENTAS!AE2+VENTAS!AG2</f>
        <v>0</v>
      </c>
      <c r="I7" s="50">
        <f>VENTAS!AJ2+VENTAS!AL2</f>
        <v>1</v>
      </c>
      <c r="J7" s="50">
        <v>0.0</v>
      </c>
      <c r="K7" s="50">
        <f>VENTAS!AT2+VENTAS!AV2</f>
        <v>1</v>
      </c>
      <c r="L7" s="50">
        <f>VENTAS!AY2+VENTAS!BA2</f>
        <v>0</v>
      </c>
      <c r="M7" s="50">
        <v>0.0</v>
      </c>
      <c r="N7" s="50">
        <v>0.0</v>
      </c>
      <c r="O7" s="50">
        <v>0.0</v>
      </c>
      <c r="P7" s="32"/>
      <c r="Q7" s="32"/>
      <c r="R7" s="32"/>
      <c r="S7" s="32"/>
      <c r="T7" s="32"/>
      <c r="U7" s="32"/>
      <c r="V7" s="32"/>
      <c r="W7" s="32"/>
      <c r="X7" s="32"/>
      <c r="Y7" s="32"/>
    </row>
    <row r="8" ht="15.75" customHeight="1">
      <c r="A8" s="49" t="s">
        <v>7</v>
      </c>
      <c r="B8" s="17">
        <v>7000.0</v>
      </c>
      <c r="C8" s="24">
        <f>VENTAS!E3+VENTAS!G3</f>
        <v>5</v>
      </c>
      <c r="D8" s="24">
        <f>VENTAS!K3+VENTAS!M3</f>
        <v>2</v>
      </c>
      <c r="E8" s="24">
        <f>VENTAS!P3+VENTAS!R3</f>
        <v>0</v>
      </c>
      <c r="F8" s="50">
        <f>VENTAS!U3+VENTAS!W3</f>
        <v>4</v>
      </c>
      <c r="G8" s="50">
        <f>VENTAS!Z3+VENTAS!AB3</f>
        <v>2</v>
      </c>
      <c r="H8" s="50">
        <f>VENTAS!AE3+VENTAS!AG3</f>
        <v>3</v>
      </c>
      <c r="I8" s="50">
        <f>VENTAS!AJ3+VENTAS!AL3</f>
        <v>2</v>
      </c>
      <c r="J8" s="50">
        <v>4.0</v>
      </c>
      <c r="K8" s="50">
        <f>VENTAS!AT3+VENTAS!AV3</f>
        <v>13</v>
      </c>
      <c r="L8" s="50">
        <f>VENTAS!AY3+VENTAS!BA3</f>
        <v>1</v>
      </c>
      <c r="M8" s="50">
        <v>1.0</v>
      </c>
      <c r="N8" s="50">
        <v>0.0</v>
      </c>
      <c r="O8" s="50">
        <v>0.0</v>
      </c>
      <c r="P8" s="32"/>
      <c r="Q8" s="32"/>
      <c r="R8" s="32"/>
      <c r="S8" s="32"/>
      <c r="T8" s="32"/>
      <c r="U8" s="32"/>
      <c r="V8" s="32"/>
      <c r="W8" s="32"/>
      <c r="X8" s="32"/>
      <c r="Y8" s="32"/>
    </row>
    <row r="9" ht="15.75" customHeight="1">
      <c r="A9" s="49" t="s">
        <v>8</v>
      </c>
      <c r="B9" s="17">
        <v>3000.0</v>
      </c>
      <c r="C9" s="24">
        <f>VENTAS!E4+VENTAS!G4</f>
        <v>3</v>
      </c>
      <c r="D9" s="24">
        <f>VENTAS!K4+VENTAS!M4</f>
        <v>7</v>
      </c>
      <c r="E9" s="24">
        <f>VENTAS!P4+VENTAS!R4</f>
        <v>1</v>
      </c>
      <c r="F9" s="50">
        <f>VENTAS!U4+VENTAS!W4</f>
        <v>0</v>
      </c>
      <c r="G9" s="50">
        <f>VENTAS!Z4+VENTAS!AB4</f>
        <v>4</v>
      </c>
      <c r="H9" s="50">
        <f>VENTAS!AE4+VENTAS!AG4</f>
        <v>5</v>
      </c>
      <c r="I9" s="50">
        <f>VENTAS!AJ4+VENTAS!AL4</f>
        <v>0</v>
      </c>
      <c r="J9" s="50">
        <v>0.0</v>
      </c>
      <c r="K9" s="50">
        <f>VENTAS!AT4+VENTAS!AV4</f>
        <v>4</v>
      </c>
      <c r="L9" s="50">
        <f>VENTAS!AY4+VENTAS!BA4</f>
        <v>0</v>
      </c>
      <c r="M9" s="50">
        <v>0.0</v>
      </c>
      <c r="N9" s="50">
        <v>0.0</v>
      </c>
      <c r="O9" s="50">
        <v>0.0</v>
      </c>
      <c r="P9" s="32"/>
      <c r="Q9" s="32"/>
      <c r="R9" s="32"/>
      <c r="S9" s="32"/>
      <c r="T9" s="32"/>
      <c r="U9" s="32"/>
      <c r="V9" s="32"/>
      <c r="W9" s="32"/>
      <c r="X9" s="32"/>
      <c r="Y9" s="32"/>
    </row>
    <row r="10" ht="15.75" customHeight="1">
      <c r="A10" s="49" t="s">
        <v>9</v>
      </c>
      <c r="B10" s="17">
        <v>6000.0</v>
      </c>
      <c r="C10" s="24">
        <f>VENTAS!E5+VENTAS!G5</f>
        <v>3</v>
      </c>
      <c r="D10" s="24">
        <f>VENTAS!K5+VENTAS!M5</f>
        <v>1</v>
      </c>
      <c r="E10" s="24">
        <f>VENTAS!P5+VENTAS!R5</f>
        <v>0</v>
      </c>
      <c r="F10" s="50">
        <f>VENTAS!U5+VENTAS!W5</f>
        <v>0</v>
      </c>
      <c r="G10" s="50">
        <f>VENTAS!Z5+VENTAS!AB5</f>
        <v>5</v>
      </c>
      <c r="H10" s="50">
        <f>VENTAS!AE5+VENTAS!AG5</f>
        <v>6</v>
      </c>
      <c r="I10" s="50">
        <f>VENTAS!AJ5+VENTAS!AL5</f>
        <v>0</v>
      </c>
      <c r="J10" s="50">
        <v>0.0</v>
      </c>
      <c r="K10" s="50">
        <f>VENTAS!AT5+VENTAS!AV5</f>
        <v>4</v>
      </c>
      <c r="L10" s="50">
        <f>VENTAS!AY5+VENTAS!BA5</f>
        <v>4</v>
      </c>
      <c r="M10" s="50">
        <v>0.0</v>
      </c>
      <c r="N10" s="50">
        <v>2.0</v>
      </c>
      <c r="O10" s="50">
        <v>12.0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ht="15.75" customHeight="1">
      <c r="A11" s="49" t="s">
        <v>10</v>
      </c>
      <c r="B11" s="17">
        <v>7000.0</v>
      </c>
      <c r="C11" s="24">
        <f>VENTAS!E6+VENTAS!G6</f>
        <v>7</v>
      </c>
      <c r="D11" s="24">
        <f>VENTAS!K6+VENTAS!M6</f>
        <v>1</v>
      </c>
      <c r="E11" s="24">
        <f>VENTAS!P6+VENTAS!R6</f>
        <v>0</v>
      </c>
      <c r="F11" s="50">
        <f>VENTAS!U6+VENTAS!W6</f>
        <v>0</v>
      </c>
      <c r="G11" s="50">
        <f>VENTAS!Z6+VENTAS!AB6</f>
        <v>0</v>
      </c>
      <c r="H11" s="50">
        <f>VENTAS!AE6+VENTAS!AG6</f>
        <v>1</v>
      </c>
      <c r="I11" s="50">
        <f>VENTAS!AJ6+VENTAS!AL6</f>
        <v>0</v>
      </c>
      <c r="J11" s="50">
        <v>0.0</v>
      </c>
      <c r="K11" s="50">
        <f>VENTAS!AT6+VENTAS!AV6</f>
        <v>0</v>
      </c>
      <c r="L11" s="50">
        <f>VENTAS!AY6+VENTAS!BA6</f>
        <v>0</v>
      </c>
      <c r="M11" s="50">
        <v>0.0</v>
      </c>
      <c r="N11" s="50">
        <v>0.0</v>
      </c>
      <c r="O11" s="50">
        <v>0.0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ht="15.75" customHeight="1">
      <c r="A12" s="49" t="s">
        <v>11</v>
      </c>
      <c r="B12" s="17">
        <v>5000.0</v>
      </c>
      <c r="C12" s="24">
        <f>VENTAS!E7+VENTAS!G7</f>
        <v>7</v>
      </c>
      <c r="D12" s="24">
        <f>VENTAS!K7+VENTAS!M7</f>
        <v>1</v>
      </c>
      <c r="E12" s="24">
        <f>VENTAS!P7+VENTAS!R7</f>
        <v>0</v>
      </c>
      <c r="F12" s="50">
        <f>VENTAS!U7+VENTAS!W7</f>
        <v>0</v>
      </c>
      <c r="G12" s="50">
        <f>VENTAS!Z7+VENTAS!AB7</f>
        <v>4</v>
      </c>
      <c r="H12" s="50">
        <f>VENTAS!AE7+VENTAS!AG7</f>
        <v>4</v>
      </c>
      <c r="I12" s="50">
        <f>VENTAS!AJ7+VENTAS!AL7</f>
        <v>0</v>
      </c>
      <c r="J12" s="50">
        <v>0.0</v>
      </c>
      <c r="K12" s="50">
        <f>VENTAS!AT7+VENTAS!AV7</f>
        <v>3</v>
      </c>
      <c r="L12" s="50">
        <f>VENTAS!AY7+VENTAS!BA7</f>
        <v>0</v>
      </c>
      <c r="M12" s="50">
        <v>0.0</v>
      </c>
      <c r="N12" s="50">
        <v>0.0</v>
      </c>
      <c r="O12" s="50">
        <v>0.0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ht="15.75" customHeight="1">
      <c r="A13" s="49" t="s">
        <v>12</v>
      </c>
      <c r="B13" s="17">
        <v>8000.0</v>
      </c>
      <c r="C13" s="24">
        <f>VENTAS!E8+VENTAS!G8</f>
        <v>1</v>
      </c>
      <c r="D13" s="24">
        <f>VENTAS!K8+VENTAS!M8</f>
        <v>2</v>
      </c>
      <c r="E13" s="24">
        <f>VENTAS!P8+VENTAS!R8</f>
        <v>0</v>
      </c>
      <c r="F13" s="50">
        <f>VENTAS!U8+VENTAS!W8</f>
        <v>0</v>
      </c>
      <c r="G13" s="50">
        <f>VENTAS!Z8+VENTAS!AB8</f>
        <v>0</v>
      </c>
      <c r="H13" s="50">
        <f>VENTAS!AE8+VENTAS!AG8</f>
        <v>0</v>
      </c>
      <c r="I13" s="50">
        <f>VENTAS!AJ8+VENTAS!AL8</f>
        <v>0</v>
      </c>
      <c r="J13" s="50">
        <v>0.0</v>
      </c>
      <c r="K13" s="50">
        <f>VENTAS!AT8+VENTAS!AV8</f>
        <v>1</v>
      </c>
      <c r="L13" s="50">
        <f>VENTAS!AY8+VENTAS!BA8</f>
        <v>0</v>
      </c>
      <c r="M13" s="50">
        <v>0.0</v>
      </c>
      <c r="N13" s="50">
        <v>0.0</v>
      </c>
      <c r="O13" s="50">
        <v>0.0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ht="15.75" customHeight="1">
      <c r="A14" s="49" t="s">
        <v>13</v>
      </c>
      <c r="B14" s="17">
        <v>6000.0</v>
      </c>
      <c r="C14" s="24">
        <f>VENTAS!E9+VENTAS!G9</f>
        <v>1</v>
      </c>
      <c r="D14" s="24">
        <f>VENTAS!K9+VENTAS!M9</f>
        <v>0</v>
      </c>
      <c r="E14" s="24">
        <f>VENTAS!P9+VENTAS!R9</f>
        <v>1</v>
      </c>
      <c r="F14" s="50">
        <f>VENTAS!U9+VENTAS!W9</f>
        <v>0</v>
      </c>
      <c r="G14" s="50">
        <f>VENTAS!Z9+VENTAS!AB9</f>
        <v>0</v>
      </c>
      <c r="H14" s="50">
        <f>VENTAS!AE9+VENTAS!AG9</f>
        <v>1</v>
      </c>
      <c r="I14" s="50">
        <f>VENTAS!AJ9+VENTAS!AL9</f>
        <v>2</v>
      </c>
      <c r="J14" s="50">
        <v>0.0</v>
      </c>
      <c r="K14" s="50">
        <f>VENTAS!AT9+VENTAS!AV9</f>
        <v>9</v>
      </c>
      <c r="L14" s="50">
        <f>VENTAS!AY9+VENTAS!BA9</f>
        <v>0</v>
      </c>
      <c r="M14" s="50">
        <v>0.0</v>
      </c>
      <c r="N14" s="50">
        <v>2.0</v>
      </c>
      <c r="O14" s="50">
        <v>0.0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ht="15.75" customHeight="1">
      <c r="A15" s="49" t="s">
        <v>14</v>
      </c>
      <c r="B15" s="17">
        <v>10000.0</v>
      </c>
      <c r="C15" s="24">
        <f>VENTAS!E10+VENTAS!G10</f>
        <v>2</v>
      </c>
      <c r="D15" s="24" t="s">
        <v>39</v>
      </c>
      <c r="E15" s="24" t="s">
        <v>39</v>
      </c>
      <c r="F15" s="50">
        <f>VENTAS!U10+VENTAS!W10</f>
        <v>0</v>
      </c>
      <c r="G15" s="50" t="s">
        <v>39</v>
      </c>
      <c r="H15" s="50" t="s">
        <v>39</v>
      </c>
      <c r="I15" s="50" t="s">
        <v>39</v>
      </c>
      <c r="J15" s="50" t="s">
        <v>39</v>
      </c>
      <c r="K15" s="50" t="s">
        <v>39</v>
      </c>
      <c r="L15" s="50">
        <f>VENTAS!AY10+VENTAS!BA10</f>
        <v>0</v>
      </c>
      <c r="M15" s="50">
        <v>0.0</v>
      </c>
      <c r="N15" s="50">
        <v>0.0</v>
      </c>
      <c r="O15" s="50">
        <v>0.0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ht="15.75" customHeight="1">
      <c r="A16" s="49" t="s">
        <v>15</v>
      </c>
      <c r="B16" s="17">
        <v>1500.0</v>
      </c>
      <c r="C16" s="24">
        <f>VENTAS!E11+VENTAS!G11</f>
        <v>2</v>
      </c>
      <c r="D16" s="24">
        <f>VENTAS!K11+VENTAS!M11</f>
        <v>2</v>
      </c>
      <c r="E16" s="24">
        <f>VENTAS!P11+VENTAS!R11</f>
        <v>0</v>
      </c>
      <c r="F16" s="50">
        <f>VENTAS!U11+VENTAS!W11</f>
        <v>0</v>
      </c>
      <c r="G16" s="50">
        <f>VENTAS!Z11+VENTAS!AB11</f>
        <v>0</v>
      </c>
      <c r="H16" s="50">
        <f>VENTAS!AE11+VENTAS!AG11</f>
        <v>1</v>
      </c>
      <c r="I16" s="50">
        <f>VENTAS!AJ11+VENTAS!AL11</f>
        <v>1</v>
      </c>
      <c r="J16" s="50">
        <v>0.0</v>
      </c>
      <c r="K16" s="50">
        <f>VENTAS!AT11+VENTAS!AV11</f>
        <v>5</v>
      </c>
      <c r="L16" s="50">
        <f>VENTAS!AY11+VENTAS!BA11</f>
        <v>0</v>
      </c>
      <c r="M16" s="50">
        <v>0.0</v>
      </c>
      <c r="N16" s="50">
        <v>0.0</v>
      </c>
      <c r="O16" s="50">
        <v>0.0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ht="15.75" customHeight="1">
      <c r="A17" s="49" t="s">
        <v>16</v>
      </c>
      <c r="B17" s="17">
        <v>1500.0</v>
      </c>
      <c r="C17" s="24">
        <f>VENTAS!E12+VENTAS!G12</f>
        <v>1</v>
      </c>
      <c r="D17" s="24">
        <f>VENTAS!K12+VENTAS!M12</f>
        <v>1</v>
      </c>
      <c r="E17" s="24">
        <f>VENTAS!P12+VENTAS!R12</f>
        <v>0</v>
      </c>
      <c r="F17" s="50">
        <f>VENTAS!U12+VENTAS!W12</f>
        <v>0</v>
      </c>
      <c r="G17" s="50">
        <f>VENTAS!Z12+VENTAS!AB12</f>
        <v>0</v>
      </c>
      <c r="H17" s="50">
        <f>VENTAS!AE12+VENTAS!AG12</f>
        <v>1</v>
      </c>
      <c r="I17" s="50">
        <f>VENTAS!AJ12+VENTAS!AL12</f>
        <v>0</v>
      </c>
      <c r="J17" s="50">
        <v>0.0</v>
      </c>
      <c r="K17" s="50">
        <f>VENTAS!AT12+VENTAS!AV12</f>
        <v>0</v>
      </c>
      <c r="L17" s="50">
        <f>VENTAS!AY12+VENTAS!BA12</f>
        <v>0</v>
      </c>
      <c r="M17" s="50">
        <v>0.0</v>
      </c>
      <c r="N17" s="50">
        <v>0.0</v>
      </c>
      <c r="O17" s="50">
        <v>0.0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ht="15.75" customHeight="1">
      <c r="A18" s="49" t="s">
        <v>17</v>
      </c>
      <c r="B18" s="17">
        <v>1500.0</v>
      </c>
      <c r="C18" s="24">
        <f>VENTAS!E13+VENTAS!G13</f>
        <v>0</v>
      </c>
      <c r="D18" s="24">
        <f>VENTAS!K13+VENTAS!M13</f>
        <v>1</v>
      </c>
      <c r="E18" s="24">
        <f>VENTAS!P13+VENTAS!R13</f>
        <v>0</v>
      </c>
      <c r="F18" s="50">
        <f>VENTAS!U13+VENTAS!W13</f>
        <v>3</v>
      </c>
      <c r="G18" s="50">
        <f>VENTAS!Z13+VENTAS!AB13</f>
        <v>0</v>
      </c>
      <c r="H18" s="50">
        <f>VENTAS!AE13+VENTAS!AG13</f>
        <v>0</v>
      </c>
      <c r="I18" s="50">
        <f>VENTAS!AJ13+VENTAS!AL13</f>
        <v>0</v>
      </c>
      <c r="J18" s="50">
        <v>0.0</v>
      </c>
      <c r="K18" s="50">
        <f>VENTAS!AT13+VENTAS!AV13</f>
        <v>0</v>
      </c>
      <c r="L18" s="50">
        <f>VENTAS!AY13+VENTAS!BA13</f>
        <v>0</v>
      </c>
      <c r="M18" s="50">
        <v>0.0</v>
      </c>
      <c r="N18" s="50">
        <v>0.0</v>
      </c>
      <c r="O18" s="50">
        <v>0.0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ht="15.75" customHeight="1">
      <c r="A19" s="49" t="s">
        <v>18</v>
      </c>
      <c r="B19" s="17">
        <v>600.0</v>
      </c>
      <c r="C19" s="24">
        <f>VENTAS!E14+VENTAS!G14</f>
        <v>0</v>
      </c>
      <c r="D19" s="24">
        <f>VENTAS!K14+VENTAS!M14</f>
        <v>8</v>
      </c>
      <c r="E19" s="24">
        <f>VENTAS!P14+VENTAS!R14</f>
        <v>0</v>
      </c>
      <c r="F19" s="50">
        <f>VENTAS!U14+VENTAS!W14</f>
        <v>5</v>
      </c>
      <c r="G19" s="50">
        <f>VENTAS!Z14+VENTAS!AB14</f>
        <v>0</v>
      </c>
      <c r="H19" s="50">
        <f>VENTAS!AE14+VENTAS!AG14</f>
        <v>2</v>
      </c>
      <c r="I19" s="50">
        <f>VENTAS!AJ14+VENTAS!AL14</f>
        <v>0</v>
      </c>
      <c r="J19" s="50">
        <v>0.0</v>
      </c>
      <c r="K19" s="50">
        <f>VENTAS!AT14+VENTAS!AV14</f>
        <v>4</v>
      </c>
      <c r="L19" s="50">
        <f>VENTAS!AY14+VENTAS!BA14</f>
        <v>2</v>
      </c>
      <c r="M19" s="50">
        <v>0.0</v>
      </c>
      <c r="N19" s="50">
        <v>0.0</v>
      </c>
      <c r="O19" s="50">
        <v>0.0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ht="15.75" customHeight="1">
      <c r="A20" s="49" t="s">
        <v>19</v>
      </c>
      <c r="B20" s="17">
        <v>1000.0</v>
      </c>
      <c r="C20" s="24">
        <f>VENTAS!E15+VENTAS!G15</f>
        <v>0</v>
      </c>
      <c r="D20" s="24">
        <f>VENTAS!K15+VENTAS!M15</f>
        <v>8</v>
      </c>
      <c r="E20" s="24">
        <f>VENTAS!P15+VENTAS!R15</f>
        <v>0</v>
      </c>
      <c r="F20" s="50">
        <f>VENTAS!U15+VENTAS!W15</f>
        <v>2</v>
      </c>
      <c r="G20" s="50">
        <f>VENTAS!Z15+VENTAS!AB15</f>
        <v>0</v>
      </c>
      <c r="H20" s="50">
        <f>VENTAS!AE15+VENTAS!AG15</f>
        <v>1</v>
      </c>
      <c r="I20" s="50">
        <f>VENTAS!AJ15+VENTAS!AL15</f>
        <v>1</v>
      </c>
      <c r="J20" s="50">
        <v>0.0</v>
      </c>
      <c r="K20" s="50">
        <f>VENTAS!AT15+VENTAS!AV15</f>
        <v>1</v>
      </c>
      <c r="L20" s="50">
        <f>VENTAS!AY15+VENTAS!BA15</f>
        <v>2</v>
      </c>
      <c r="M20" s="50">
        <v>0.0</v>
      </c>
      <c r="N20" s="50">
        <v>0.0</v>
      </c>
      <c r="O20" s="50">
        <v>0.0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ht="15.75" customHeight="1">
      <c r="A21" s="49" t="s">
        <v>22</v>
      </c>
      <c r="B21" s="17">
        <v>15000.0</v>
      </c>
      <c r="C21" s="24" t="s">
        <v>39</v>
      </c>
      <c r="D21" s="24" t="s">
        <v>39</v>
      </c>
      <c r="E21" s="24">
        <f>VENTAS!P18+VENTAS!R18</f>
        <v>0</v>
      </c>
      <c r="F21" s="24">
        <f>VENTAS!U18+VENTAS!W18</f>
        <v>0</v>
      </c>
      <c r="G21" s="50">
        <f>VENTAS!Z18+VENTAS!AB18</f>
        <v>0</v>
      </c>
      <c r="H21" s="50">
        <f>VENTAS!AE18+VENTAS!AG18</f>
        <v>0</v>
      </c>
      <c r="I21" s="50">
        <f>VENTAS!AJ18+VENTAS!AL18</f>
        <v>0</v>
      </c>
      <c r="J21" s="50">
        <v>0.0</v>
      </c>
      <c r="K21" s="50">
        <f>VENTAS!AT18+VENTAS!AV18</f>
        <v>1</v>
      </c>
      <c r="L21" s="50">
        <v>0.0</v>
      </c>
      <c r="M21" s="50">
        <v>0.0</v>
      </c>
      <c r="N21" s="50">
        <v>0.0</v>
      </c>
      <c r="O21" s="50">
        <v>0.0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ht="15.75" customHeight="1">
      <c r="A22" s="49" t="s">
        <v>23</v>
      </c>
      <c r="B22" s="17">
        <v>6000.0</v>
      </c>
      <c r="C22" s="24" t="s">
        <v>39</v>
      </c>
      <c r="D22" s="24" t="s">
        <v>39</v>
      </c>
      <c r="E22" s="24">
        <f>VENTAS!P19+VENTAS!R19</f>
        <v>0</v>
      </c>
      <c r="F22" s="24">
        <f>VENTAS!U19+VENTAS!W19</f>
        <v>1</v>
      </c>
      <c r="G22" s="50">
        <f>VENTAS!Z19+VENTAS!AB19</f>
        <v>0</v>
      </c>
      <c r="H22" s="50">
        <f>VENTAS!AE19+VENTAS!AG19</f>
        <v>1</v>
      </c>
      <c r="I22" s="50">
        <f>VENTAS!AJ19+VENTAS!AL19</f>
        <v>2</v>
      </c>
      <c r="J22" s="50">
        <v>0.0</v>
      </c>
      <c r="K22" s="50">
        <f>VENTAS!AT19+VENTAS!AV19</f>
        <v>5</v>
      </c>
      <c r="L22" s="50">
        <v>1.0</v>
      </c>
      <c r="M22" s="50">
        <v>2.0</v>
      </c>
      <c r="N22" s="50">
        <v>0.0</v>
      </c>
      <c r="O22" s="50">
        <v>4.0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ht="15.75" customHeight="1">
      <c r="A23" s="49" t="s">
        <v>24</v>
      </c>
      <c r="B23" s="17">
        <v>9500.0</v>
      </c>
      <c r="C23" s="24" t="s">
        <v>39</v>
      </c>
      <c r="D23" s="24" t="s">
        <v>39</v>
      </c>
      <c r="E23" s="24">
        <f>VENTAS!P20+VENTAS!R20</f>
        <v>1</v>
      </c>
      <c r="F23" s="24">
        <f>VENTAS!U20+VENTAS!W20</f>
        <v>1</v>
      </c>
      <c r="G23" s="50">
        <f>VENTAS!Z20+VENTAS!AB20</f>
        <v>0</v>
      </c>
      <c r="H23" s="50">
        <f>VENTAS!AE20+VENTAS!AG20</f>
        <v>0</v>
      </c>
      <c r="I23" s="50">
        <f>VENTAS!AJ20+VENTAS!AL20</f>
        <v>2</v>
      </c>
      <c r="J23" s="50">
        <v>0.0</v>
      </c>
      <c r="K23" s="50">
        <f>VENTAS!AT20+VENTAS!AV20</f>
        <v>4</v>
      </c>
      <c r="L23" s="50">
        <v>1.0</v>
      </c>
      <c r="M23" s="50">
        <v>0.0</v>
      </c>
      <c r="N23" s="50">
        <v>0.0</v>
      </c>
      <c r="O23" s="50">
        <v>0.0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ht="15.75" customHeight="1">
      <c r="A24" s="49" t="s">
        <v>25</v>
      </c>
      <c r="B24" s="17">
        <v>14000.0</v>
      </c>
      <c r="C24" s="24" t="s">
        <v>39</v>
      </c>
      <c r="D24" s="24" t="s">
        <v>39</v>
      </c>
      <c r="E24" s="24">
        <f>VENTAS!P21+VENTAS!R21</f>
        <v>0</v>
      </c>
      <c r="F24" s="24">
        <f>VENTAS!U21+VENTAS!W21</f>
        <v>2</v>
      </c>
      <c r="G24" s="50">
        <f>VENTAS!Z21+VENTAS!AB21</f>
        <v>0</v>
      </c>
      <c r="H24" s="50">
        <f>VENTAS!AE21+VENTAS!AG21</f>
        <v>1</v>
      </c>
      <c r="I24" s="50">
        <f>VENTAS!AJ21+VENTAS!AL21</f>
        <v>1</v>
      </c>
      <c r="J24" s="50">
        <v>0.0</v>
      </c>
      <c r="K24" s="50">
        <f>VENTAS!AT21+VENTAS!AV21</f>
        <v>1</v>
      </c>
      <c r="L24" s="50">
        <v>0.0</v>
      </c>
      <c r="M24" s="50">
        <v>0.0</v>
      </c>
      <c r="N24" s="50">
        <v>2.0</v>
      </c>
      <c r="O24" s="50">
        <v>0.0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ht="15.75" customHeight="1">
      <c r="A25" s="49" t="s">
        <v>26</v>
      </c>
      <c r="B25" s="17">
        <v>10000.0</v>
      </c>
      <c r="C25" s="24" t="s">
        <v>39</v>
      </c>
      <c r="D25" s="24" t="s">
        <v>39</v>
      </c>
      <c r="E25" s="24">
        <f>VENTAS!P22+VENTAS!R22</f>
        <v>2</v>
      </c>
      <c r="F25" s="24">
        <f>VENTAS!U22+VENTAS!W22</f>
        <v>1</v>
      </c>
      <c r="G25" s="50">
        <f>VENTAS!Z22+VENTAS!AB22</f>
        <v>2</v>
      </c>
      <c r="H25" s="50">
        <f>VENTAS!AE22+VENTAS!AG22</f>
        <v>1</v>
      </c>
      <c r="I25" s="50">
        <f>VENTAS!AJ22+VENTAS!AL22</f>
        <v>2</v>
      </c>
      <c r="J25" s="50">
        <v>1.0</v>
      </c>
      <c r="K25" s="50">
        <f>VENTAS!AT22+VENTAS!AV22</f>
        <v>1</v>
      </c>
      <c r="L25" s="50">
        <v>0.0</v>
      </c>
      <c r="M25" s="50">
        <v>0.0</v>
      </c>
      <c r="N25" s="50">
        <v>2.0</v>
      </c>
      <c r="O25" s="50">
        <v>0.0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ht="15.75" customHeight="1">
      <c r="A26" s="49" t="s">
        <v>40</v>
      </c>
      <c r="B26" s="17">
        <v>15000.0</v>
      </c>
      <c r="C26" s="24" t="s">
        <v>39</v>
      </c>
      <c r="D26" s="24" t="s">
        <v>39</v>
      </c>
      <c r="E26" s="24">
        <f>VENTAS!P23+VENTAS!R23</f>
        <v>0</v>
      </c>
      <c r="F26" s="24">
        <f>VENTAS!U23+VENTAS!W23</f>
        <v>0</v>
      </c>
      <c r="G26" s="50">
        <f>VENTAS!Z23+VENTAS!AB23</f>
        <v>0</v>
      </c>
      <c r="H26" s="50">
        <f>VENTAS!AE23+VENTAS!AG23</f>
        <v>1</v>
      </c>
      <c r="I26" s="50">
        <f>VENTAS!AJ23+VENTAS!AL23</f>
        <v>1</v>
      </c>
      <c r="J26" s="50">
        <v>0.0</v>
      </c>
      <c r="K26" s="50">
        <f>VENTAS!AT23+VENTAS!AV23</f>
        <v>4</v>
      </c>
      <c r="L26" s="50">
        <f>VENTAS!AY21+VENTAS!BA21</f>
        <v>0</v>
      </c>
      <c r="M26" s="50">
        <v>0.0</v>
      </c>
      <c r="N26" s="50">
        <v>0.0</v>
      </c>
      <c r="O26" s="50">
        <v>0.0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ht="15.75" customHeight="1">
      <c r="A27" s="49" t="s">
        <v>29</v>
      </c>
      <c r="B27" s="17">
        <v>21000.0</v>
      </c>
      <c r="C27" s="24" t="s">
        <v>39</v>
      </c>
      <c r="D27" s="24" t="s">
        <v>39</v>
      </c>
      <c r="E27" s="24" t="s">
        <v>39</v>
      </c>
      <c r="F27" s="24">
        <f>VENTAS!U25+VENTAS!W25</f>
        <v>1</v>
      </c>
      <c r="G27" s="50">
        <f>VENTAS!Z25+VENTAS!AB25</f>
        <v>2</v>
      </c>
      <c r="H27" s="50">
        <f>VENTAS!AE25+VENTAS!AG25</f>
        <v>0</v>
      </c>
      <c r="I27" s="50">
        <f>VENTAS!AJ25+VENTAS!AL25</f>
        <v>1</v>
      </c>
      <c r="J27" s="50">
        <v>0.0</v>
      </c>
      <c r="K27" s="50">
        <f>VENTAS!AT25+VENTAS!AV25</f>
        <v>0</v>
      </c>
      <c r="L27" s="50">
        <f>VENTAS!AY22+VENTAS!BA22</f>
        <v>0</v>
      </c>
      <c r="M27" s="50">
        <v>0.0</v>
      </c>
      <c r="N27" s="50">
        <v>0.0</v>
      </c>
      <c r="O27" s="50">
        <v>0.0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ht="15.75" customHeight="1">
      <c r="A28" s="51" t="s">
        <v>41</v>
      </c>
      <c r="B28" s="52">
        <f>SUM(C28:K28)</f>
        <v>1307400</v>
      </c>
      <c r="C28" s="53">
        <f t="shared" ref="C28:D28" si="5">SUMPRODUCT(C7:C27,$B$7:$B$27)</f>
        <v>184500</v>
      </c>
      <c r="D28" s="53">
        <f t="shared" si="5"/>
        <v>101800</v>
      </c>
      <c r="E28" s="53">
        <f>SUMPRODUCT(E7:E26,$B$7:$B$26)</f>
        <v>38500</v>
      </c>
      <c r="F28" s="53">
        <f t="shared" ref="F28:O28" si="6">SUMPRODUCT(F7:F27,$B$7:$B$27)</f>
        <v>112000</v>
      </c>
      <c r="G28" s="53">
        <f t="shared" si="6"/>
        <v>138000</v>
      </c>
      <c r="H28" s="53">
        <f t="shared" si="6"/>
        <v>155200</v>
      </c>
      <c r="I28" s="53">
        <f t="shared" si="6"/>
        <v>143500</v>
      </c>
      <c r="J28" s="53">
        <f t="shared" si="6"/>
        <v>38000</v>
      </c>
      <c r="K28" s="53">
        <f t="shared" si="6"/>
        <v>395900</v>
      </c>
      <c r="L28" s="53">
        <f t="shared" si="6"/>
        <v>49700</v>
      </c>
      <c r="M28" s="53">
        <f t="shared" si="6"/>
        <v>19000</v>
      </c>
      <c r="N28" s="53">
        <f t="shared" si="6"/>
        <v>72000</v>
      </c>
      <c r="O28" s="53">
        <f t="shared" si="6"/>
        <v>96000</v>
      </c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ht="15.75" customHeight="1">
      <c r="A29" s="49" t="s">
        <v>20</v>
      </c>
      <c r="B29" s="17">
        <v>12000.0</v>
      </c>
      <c r="C29" s="24">
        <f>VENTAS!E16+VENTAS!G16</f>
        <v>1</v>
      </c>
      <c r="D29" s="24">
        <f>VENTAS!K16+VENTAS!M16</f>
        <v>3</v>
      </c>
      <c r="E29" s="24">
        <f>VENTAS!P16+VENTAS!R16</f>
        <v>0</v>
      </c>
      <c r="F29" s="50">
        <f>VENTAS!W16+VENTAS!W16</f>
        <v>0</v>
      </c>
      <c r="G29" s="50">
        <f>VENTAS!Z16+VENTAS!AB16</f>
        <v>0</v>
      </c>
      <c r="H29" s="50">
        <f>VENTAS!AE16+VENTAS!AG16</f>
        <v>0</v>
      </c>
      <c r="I29" s="50">
        <f>VENTAS!AJ16+VENTAS!AL16</f>
        <v>0</v>
      </c>
      <c r="J29" s="50">
        <v>0.0</v>
      </c>
      <c r="K29" s="50">
        <v>0.0</v>
      </c>
      <c r="L29" s="50">
        <v>2.0</v>
      </c>
      <c r="M29" s="50">
        <v>0.0</v>
      </c>
      <c r="N29" s="50">
        <v>0.0</v>
      </c>
      <c r="O29" s="50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ht="15.75" customHeight="1">
      <c r="A30" s="49" t="s">
        <v>21</v>
      </c>
      <c r="B30" s="17">
        <v>25000.0</v>
      </c>
      <c r="C30" s="24">
        <f>VENTAS!E17+VENTAS!G17</f>
        <v>1</v>
      </c>
      <c r="D30" s="24" t="s">
        <v>39</v>
      </c>
      <c r="E30" s="24" t="s">
        <v>39</v>
      </c>
      <c r="F30" s="50" t="s">
        <v>39</v>
      </c>
      <c r="G30" s="50" t="s">
        <v>39</v>
      </c>
      <c r="H30" s="50" t="s">
        <v>39</v>
      </c>
      <c r="I30" s="50" t="s">
        <v>39</v>
      </c>
      <c r="J30" s="50" t="s">
        <v>39</v>
      </c>
      <c r="K30" s="50" t="s">
        <v>39</v>
      </c>
      <c r="L30" s="50">
        <v>0.0</v>
      </c>
      <c r="M30" s="50" t="s">
        <v>39</v>
      </c>
      <c r="N30" s="50">
        <v>0.0</v>
      </c>
      <c r="O30" s="50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ht="15.75" customHeight="1">
      <c r="A31" s="51" t="s">
        <v>42</v>
      </c>
      <c r="B31" s="52">
        <f>SUM(C31:K31)</f>
        <v>73000</v>
      </c>
      <c r="C31" s="53">
        <f t="shared" ref="C31:O31" si="7">SUMPRODUCT(C29:C30,$B$29:$B$30)</f>
        <v>37000</v>
      </c>
      <c r="D31" s="53">
        <f t="shared" si="7"/>
        <v>36000</v>
      </c>
      <c r="E31" s="53">
        <f t="shared" si="7"/>
        <v>0</v>
      </c>
      <c r="F31" s="53">
        <f t="shared" si="7"/>
        <v>0</v>
      </c>
      <c r="G31" s="53">
        <f t="shared" si="7"/>
        <v>0</v>
      </c>
      <c r="H31" s="53">
        <f t="shared" si="7"/>
        <v>0</v>
      </c>
      <c r="I31" s="53">
        <f t="shared" si="7"/>
        <v>0</v>
      </c>
      <c r="J31" s="53">
        <f t="shared" si="7"/>
        <v>0</v>
      </c>
      <c r="K31" s="53">
        <f t="shared" si="7"/>
        <v>0</v>
      </c>
      <c r="L31" s="53">
        <f t="shared" si="7"/>
        <v>24000</v>
      </c>
      <c r="M31" s="53">
        <f t="shared" si="7"/>
        <v>0</v>
      </c>
      <c r="N31" s="53">
        <f t="shared" si="7"/>
        <v>0</v>
      </c>
      <c r="O31" s="53">
        <f t="shared" si="7"/>
        <v>0</v>
      </c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ht="15.75" customHeight="1">
      <c r="A32" s="49" t="s">
        <v>28</v>
      </c>
      <c r="B32" s="17">
        <v>22000.0</v>
      </c>
      <c r="C32" s="24" t="s">
        <v>39</v>
      </c>
      <c r="D32" s="24" t="s">
        <v>39</v>
      </c>
      <c r="E32" s="24" t="s">
        <v>39</v>
      </c>
      <c r="F32" s="24">
        <f>VENTAS!U24+VENTAS!W24</f>
        <v>1</v>
      </c>
      <c r="G32" s="50">
        <f>VENTAS!Z24+VENTAS!AB24</f>
        <v>2</v>
      </c>
      <c r="H32" s="50">
        <f>VENTAS!AE24+VENTAS!AG24</f>
        <v>1</v>
      </c>
      <c r="I32" s="50">
        <f>VENTAS!AJ24+VENTAS!AL24</f>
        <v>1</v>
      </c>
      <c r="J32" s="50">
        <v>0.0</v>
      </c>
      <c r="K32" s="50">
        <v>7.0</v>
      </c>
      <c r="L32" s="50">
        <v>0.0</v>
      </c>
      <c r="M32" s="50">
        <v>0.0</v>
      </c>
      <c r="N32" s="50">
        <v>0.0</v>
      </c>
      <c r="O32" s="50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ht="15.75" customHeight="1">
      <c r="A33" s="51" t="s">
        <v>43</v>
      </c>
      <c r="B33" s="52">
        <f>SUM(C33:K33)</f>
        <v>264000</v>
      </c>
      <c r="C33" s="53" t="str">
        <f t="shared" ref="C33:E33" si="8">C32</f>
        <v>-</v>
      </c>
      <c r="D33" s="53" t="str">
        <f t="shared" si="8"/>
        <v>-</v>
      </c>
      <c r="E33" s="53" t="str">
        <f t="shared" si="8"/>
        <v>-</v>
      </c>
      <c r="F33" s="53">
        <f t="shared" ref="F33:O33" si="9">F32*$B$32</f>
        <v>22000</v>
      </c>
      <c r="G33" s="53">
        <f t="shared" si="9"/>
        <v>44000</v>
      </c>
      <c r="H33" s="53">
        <f t="shared" si="9"/>
        <v>22000</v>
      </c>
      <c r="I33" s="53">
        <f t="shared" si="9"/>
        <v>22000</v>
      </c>
      <c r="J33" s="53">
        <f t="shared" si="9"/>
        <v>0</v>
      </c>
      <c r="K33" s="53">
        <f t="shared" si="9"/>
        <v>154000</v>
      </c>
      <c r="L33" s="53">
        <f t="shared" si="9"/>
        <v>0</v>
      </c>
      <c r="M33" s="53">
        <f t="shared" si="9"/>
        <v>0</v>
      </c>
      <c r="N33" s="53">
        <f t="shared" si="9"/>
        <v>0</v>
      </c>
      <c r="O33" s="53">
        <f t="shared" si="9"/>
        <v>0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ht="15.75" customHeight="1">
      <c r="A34" s="54"/>
      <c r="B34" s="55"/>
      <c r="C34" s="32"/>
      <c r="D34" s="32"/>
      <c r="E34" s="32"/>
      <c r="F34" s="32"/>
      <c r="G34" s="32"/>
      <c r="H34" s="32"/>
      <c r="I34" s="32"/>
      <c r="J34" s="32"/>
      <c r="K34" s="32"/>
      <c r="M34" s="32"/>
      <c r="N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ht="15.75" customHeight="1">
      <c r="A35" s="54"/>
      <c r="B35" s="55"/>
      <c r="C35" s="32"/>
      <c r="D35" s="32"/>
      <c r="E35" s="32"/>
      <c r="F35" s="32"/>
      <c r="G35" s="32"/>
      <c r="H35" s="32"/>
      <c r="I35" s="32"/>
      <c r="J35" s="32"/>
      <c r="K35" s="32"/>
      <c r="M35" s="32"/>
      <c r="N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ht="15.75" customHeight="1">
      <c r="A36" s="54"/>
      <c r="B36" s="55"/>
      <c r="C36" s="32"/>
      <c r="D36" s="32"/>
      <c r="E36" s="32"/>
      <c r="F36" s="32"/>
      <c r="G36" s="32"/>
      <c r="H36" s="32"/>
      <c r="I36" s="32"/>
      <c r="J36" s="32"/>
      <c r="K36" s="32"/>
      <c r="M36" s="32"/>
      <c r="N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ht="15.75" customHeight="1">
      <c r="A37" s="54"/>
      <c r="B37" s="55"/>
      <c r="C37" s="32"/>
      <c r="D37" s="32"/>
      <c r="E37" s="32"/>
      <c r="F37" s="32"/>
      <c r="G37" s="32"/>
      <c r="H37" s="32"/>
      <c r="I37" s="32"/>
      <c r="J37" s="32"/>
      <c r="K37" s="32"/>
      <c r="M37" s="32"/>
      <c r="N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ht="15.75" customHeight="1">
      <c r="A38" s="54"/>
      <c r="B38" s="55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ht="15.75" customHeight="1">
      <c r="A39" s="54"/>
      <c r="B39" s="55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ht="15.75" customHeight="1">
      <c r="A40" s="54"/>
      <c r="B40" s="55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ht="15.75" customHeight="1">
      <c r="A41" s="54"/>
      <c r="B41" s="55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ht="15.75" customHeight="1">
      <c r="A42" s="54"/>
      <c r="B42" s="55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ht="15.75" customHeight="1">
      <c r="A43" s="54"/>
      <c r="B43" s="55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ht="15.75" customHeight="1">
      <c r="A44" s="54"/>
      <c r="B44" s="55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ht="15.75" customHeight="1">
      <c r="A45" s="54"/>
      <c r="B45" s="55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ht="15.75" customHeight="1">
      <c r="A46" s="54"/>
      <c r="B46" s="55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ht="15.75" customHeight="1">
      <c r="A47" s="54"/>
      <c r="B47" s="55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ht="15.75" customHeight="1">
      <c r="A48" s="54"/>
      <c r="B48" s="55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ht="15.75" customHeight="1">
      <c r="A49" s="54"/>
      <c r="B49" s="55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ht="15.75" customHeight="1">
      <c r="A50" s="54"/>
      <c r="B50" s="55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ht="15.75" customHeight="1">
      <c r="A51" s="54"/>
      <c r="B51" s="55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ht="15.75" customHeight="1">
      <c r="A52" s="54"/>
      <c r="B52" s="55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ht="15.75" customHeight="1">
      <c r="A53" s="54"/>
      <c r="B53" s="55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ht="15.75" customHeight="1">
      <c r="A54" s="54"/>
      <c r="B54" s="55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ht="15.75" customHeight="1">
      <c r="A55" s="54"/>
      <c r="B55" s="55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ht="15.75" customHeight="1">
      <c r="A56" s="54"/>
      <c r="B56" s="55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ht="15.75" customHeight="1">
      <c r="A57" s="54"/>
      <c r="B57" s="55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ht="15.75" customHeight="1">
      <c r="A58" s="54"/>
      <c r="B58" s="55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ht="15.75" customHeight="1">
      <c r="A59" s="54"/>
      <c r="B59" s="55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ht="15.75" customHeight="1">
      <c r="A60" s="54"/>
      <c r="B60" s="55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ht="15.75" customHeight="1">
      <c r="A61" s="54"/>
      <c r="B61" s="55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ht="15.75" customHeight="1">
      <c r="A62" s="54"/>
      <c r="B62" s="55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ht="15.75" customHeight="1">
      <c r="A63" s="54"/>
      <c r="B63" s="55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ht="15.75" customHeight="1">
      <c r="A64" s="54"/>
      <c r="B64" s="55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ht="15.75" customHeight="1">
      <c r="A65" s="54"/>
      <c r="B65" s="55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ht="15.75" customHeight="1">
      <c r="A66" s="54"/>
      <c r="B66" s="55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ht="15.75" customHeight="1">
      <c r="A67" s="54"/>
      <c r="B67" s="55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ht="15.75" customHeight="1">
      <c r="A68" s="54"/>
      <c r="B68" s="55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ht="15.75" customHeight="1">
      <c r="A69" s="54"/>
      <c r="B69" s="55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ht="15.75" customHeight="1">
      <c r="A70" s="54"/>
      <c r="B70" s="55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ht="15.75" customHeight="1">
      <c r="A71" s="54"/>
      <c r="B71" s="55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ht="15.75" customHeight="1">
      <c r="A72" s="54"/>
      <c r="B72" s="55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ht="15.75" customHeight="1">
      <c r="A73" s="54"/>
      <c r="B73" s="55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ht="15.75" customHeight="1">
      <c r="A74" s="54"/>
      <c r="B74" s="55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ht="15.75" customHeight="1">
      <c r="A75" s="54"/>
      <c r="B75" s="55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ht="15.75" customHeight="1">
      <c r="A76" s="54"/>
      <c r="B76" s="55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ht="15.75" customHeight="1">
      <c r="A77" s="54"/>
      <c r="B77" s="55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ht="15.75" customHeight="1">
      <c r="A78" s="54"/>
      <c r="B78" s="55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ht="15.75" customHeight="1">
      <c r="A79" s="54"/>
      <c r="B79" s="55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ht="15.75" customHeight="1">
      <c r="A80" s="54"/>
      <c r="B80" s="55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ht="15.75" customHeight="1">
      <c r="A81" s="54"/>
      <c r="B81" s="55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ht="15.75" customHeight="1">
      <c r="A82" s="54"/>
      <c r="B82" s="55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ht="15.75" customHeight="1">
      <c r="A83" s="54"/>
      <c r="B83" s="55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ht="15.75" customHeight="1">
      <c r="A84" s="54"/>
      <c r="B84" s="55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ht="15.75" customHeight="1">
      <c r="A85" s="54"/>
      <c r="B85" s="55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ht="15.75" customHeight="1">
      <c r="A86" s="54"/>
      <c r="B86" s="55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ht="15.75" customHeight="1">
      <c r="A87" s="54"/>
      <c r="B87" s="55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ht="15.75" customHeight="1">
      <c r="A88" s="54"/>
      <c r="B88" s="55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ht="15.75" customHeight="1">
      <c r="A89" s="54"/>
      <c r="B89" s="55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ht="15.75" customHeight="1">
      <c r="A90" s="54"/>
      <c r="B90" s="55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ht="15.75" customHeight="1">
      <c r="A91" s="54"/>
      <c r="B91" s="55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ht="15.75" customHeight="1">
      <c r="A92" s="54"/>
      <c r="B92" s="55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ht="15.75" customHeight="1">
      <c r="A93" s="54"/>
      <c r="B93" s="55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ht="15.75" customHeight="1">
      <c r="A94" s="54"/>
      <c r="B94" s="55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ht="15.75" customHeight="1">
      <c r="A95" s="54"/>
      <c r="B95" s="55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ht="15.75" customHeight="1">
      <c r="A96" s="54"/>
      <c r="B96" s="55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ht="15.75" customHeight="1">
      <c r="A97" s="54"/>
      <c r="B97" s="55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ht="15.75" customHeight="1">
      <c r="A98" s="54"/>
      <c r="B98" s="55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ht="15.75" customHeight="1">
      <c r="A99" s="54"/>
      <c r="B99" s="55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ht="15.75" customHeight="1">
      <c r="A100" s="54"/>
      <c r="B100" s="55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ht="15.75" customHeight="1">
      <c r="A101" s="54"/>
      <c r="B101" s="55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ht="15.75" customHeight="1">
      <c r="A102" s="54"/>
      <c r="B102" s="55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ht="15.75" customHeight="1">
      <c r="A103" s="54"/>
      <c r="B103" s="55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ht="15.75" customHeight="1">
      <c r="A104" s="54"/>
      <c r="B104" s="55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ht="15.75" customHeight="1">
      <c r="A105" s="54"/>
      <c r="B105" s="55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ht="15.75" customHeight="1">
      <c r="A106" s="54"/>
      <c r="B106" s="55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ht="15.75" customHeight="1">
      <c r="A107" s="54"/>
      <c r="B107" s="55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ht="15.75" customHeight="1">
      <c r="A108" s="54"/>
      <c r="B108" s="55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ht="15.75" customHeight="1">
      <c r="A109" s="54"/>
      <c r="B109" s="55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ht="15.75" customHeight="1">
      <c r="A110" s="54"/>
      <c r="B110" s="55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ht="15.75" customHeight="1">
      <c r="A111" s="54"/>
      <c r="B111" s="55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ht="15.75" customHeight="1">
      <c r="A112" s="54"/>
      <c r="B112" s="55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ht="15.75" customHeight="1">
      <c r="A113" s="54"/>
      <c r="B113" s="55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ht="15.75" customHeight="1">
      <c r="A114" s="54"/>
      <c r="B114" s="55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ht="15.75" customHeight="1">
      <c r="A115" s="54"/>
      <c r="B115" s="55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ht="15.75" customHeight="1">
      <c r="A116" s="54"/>
      <c r="B116" s="55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ht="15.75" customHeight="1">
      <c r="A117" s="54"/>
      <c r="B117" s="55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ht="15.75" customHeight="1">
      <c r="A118" s="54"/>
      <c r="B118" s="55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ht="15.75" customHeight="1">
      <c r="A119" s="54"/>
      <c r="B119" s="55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ht="15.75" customHeight="1">
      <c r="A120" s="54"/>
      <c r="B120" s="55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ht="15.75" customHeight="1">
      <c r="A121" s="54"/>
      <c r="B121" s="55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ht="15.75" customHeight="1">
      <c r="A122" s="54"/>
      <c r="B122" s="55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ht="15.75" customHeight="1">
      <c r="A123" s="54"/>
      <c r="B123" s="55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ht="15.75" customHeight="1">
      <c r="A124" s="54"/>
      <c r="B124" s="55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ht="15.75" customHeight="1">
      <c r="A125" s="54"/>
      <c r="B125" s="55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ht="15.75" customHeight="1">
      <c r="A126" s="54"/>
      <c r="B126" s="55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ht="15.75" customHeight="1">
      <c r="A127" s="54"/>
      <c r="B127" s="55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ht="15.75" customHeight="1">
      <c r="A128" s="54"/>
      <c r="B128" s="55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ht="15.75" customHeight="1">
      <c r="A129" s="54"/>
      <c r="B129" s="55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ht="15.75" customHeight="1">
      <c r="A130" s="54"/>
      <c r="B130" s="55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ht="15.75" customHeight="1">
      <c r="A131" s="54"/>
      <c r="B131" s="55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ht="15.75" customHeight="1">
      <c r="A132" s="54"/>
      <c r="B132" s="55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ht="15.75" customHeight="1">
      <c r="A133" s="54"/>
      <c r="B133" s="55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ht="15.75" customHeight="1">
      <c r="A134" s="54"/>
      <c r="B134" s="55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ht="15.75" customHeight="1">
      <c r="A135" s="54"/>
      <c r="B135" s="55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ht="15.75" customHeight="1">
      <c r="A136" s="54"/>
      <c r="B136" s="55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ht="15.75" customHeight="1">
      <c r="A137" s="54"/>
      <c r="B137" s="55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ht="15.75" customHeight="1">
      <c r="A138" s="54"/>
      <c r="B138" s="55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ht="15.75" customHeight="1">
      <c r="A139" s="54"/>
      <c r="B139" s="55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ht="15.75" customHeight="1">
      <c r="A140" s="54"/>
      <c r="B140" s="55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ht="15.75" customHeight="1">
      <c r="A141" s="54"/>
      <c r="B141" s="55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ht="15.75" customHeight="1">
      <c r="A142" s="54"/>
      <c r="B142" s="55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ht="15.75" customHeight="1">
      <c r="A143" s="54"/>
      <c r="B143" s="55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ht="15.75" customHeight="1">
      <c r="A144" s="54"/>
      <c r="B144" s="55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ht="15.75" customHeight="1">
      <c r="A145" s="54"/>
      <c r="B145" s="55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ht="15.75" customHeight="1">
      <c r="A146" s="54"/>
      <c r="B146" s="55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ht="15.75" customHeight="1">
      <c r="A147" s="54"/>
      <c r="B147" s="55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ht="15.75" customHeight="1">
      <c r="A148" s="54"/>
      <c r="B148" s="55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ht="15.75" customHeight="1">
      <c r="A149" s="54"/>
      <c r="B149" s="55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ht="15.75" customHeight="1">
      <c r="A150" s="54"/>
      <c r="B150" s="55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ht="15.75" customHeight="1">
      <c r="A151" s="54"/>
      <c r="B151" s="55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ht="15.75" customHeight="1">
      <c r="A152" s="54"/>
      <c r="B152" s="55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ht="15.75" customHeight="1">
      <c r="A153" s="54"/>
      <c r="B153" s="55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ht="15.75" customHeight="1">
      <c r="A154" s="54"/>
      <c r="B154" s="55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ht="15.75" customHeight="1">
      <c r="A155" s="54"/>
      <c r="B155" s="55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ht="15.75" customHeight="1">
      <c r="A156" s="54"/>
      <c r="B156" s="55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ht="15.75" customHeight="1">
      <c r="A157" s="54"/>
      <c r="B157" s="55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ht="15.75" customHeight="1">
      <c r="A158" s="54"/>
      <c r="B158" s="55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ht="15.75" customHeight="1">
      <c r="A159" s="54"/>
      <c r="B159" s="55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ht="15.75" customHeight="1">
      <c r="A160" s="54"/>
      <c r="B160" s="55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ht="15.75" customHeight="1">
      <c r="A161" s="54"/>
      <c r="B161" s="55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ht="15.75" customHeight="1">
      <c r="A162" s="54"/>
      <c r="B162" s="55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ht="15.75" customHeight="1">
      <c r="A163" s="54"/>
      <c r="B163" s="55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ht="15.75" customHeight="1">
      <c r="A164" s="54"/>
      <c r="B164" s="55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ht="15.75" customHeight="1">
      <c r="A165" s="54"/>
      <c r="B165" s="55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ht="15.75" customHeight="1">
      <c r="A166" s="54"/>
      <c r="B166" s="55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ht="15.75" customHeight="1">
      <c r="A167" s="54"/>
      <c r="B167" s="55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ht="15.75" customHeight="1">
      <c r="A168" s="54"/>
      <c r="B168" s="55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ht="15.75" customHeight="1">
      <c r="A169" s="54"/>
      <c r="B169" s="55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ht="15.75" customHeight="1">
      <c r="A170" s="54"/>
      <c r="B170" s="55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ht="15.75" customHeight="1">
      <c r="A171" s="54"/>
      <c r="B171" s="55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ht="15.75" customHeight="1">
      <c r="A172" s="54"/>
      <c r="B172" s="55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ht="15.75" customHeight="1">
      <c r="A173" s="54"/>
      <c r="B173" s="55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ht="15.75" customHeight="1">
      <c r="A174" s="54"/>
      <c r="B174" s="55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ht="15.75" customHeight="1">
      <c r="A175" s="54"/>
      <c r="B175" s="55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ht="15.75" customHeight="1">
      <c r="A176" s="54"/>
      <c r="B176" s="55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ht="15.75" customHeight="1">
      <c r="A177" s="54"/>
      <c r="B177" s="55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ht="15.75" customHeight="1">
      <c r="A178" s="54"/>
      <c r="B178" s="55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ht="15.75" customHeight="1">
      <c r="A179" s="54"/>
      <c r="B179" s="55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ht="15.75" customHeight="1">
      <c r="A180" s="54"/>
      <c r="B180" s="55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ht="15.75" customHeight="1">
      <c r="A181" s="54"/>
      <c r="B181" s="55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ht="15.75" customHeight="1">
      <c r="A182" s="54"/>
      <c r="B182" s="55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ht="15.75" customHeight="1">
      <c r="A183" s="54"/>
      <c r="B183" s="55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ht="15.75" customHeight="1">
      <c r="A184" s="54"/>
      <c r="B184" s="55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ht="15.75" customHeight="1">
      <c r="A185" s="54"/>
      <c r="B185" s="55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ht="15.75" customHeight="1">
      <c r="A186" s="54"/>
      <c r="B186" s="55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ht="15.75" customHeight="1">
      <c r="A187" s="54"/>
      <c r="B187" s="55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ht="15.75" customHeight="1">
      <c r="A188" s="54"/>
      <c r="B188" s="55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ht="15.75" customHeight="1">
      <c r="A189" s="54"/>
      <c r="B189" s="55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ht="15.75" customHeight="1">
      <c r="A190" s="54"/>
      <c r="B190" s="55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ht="15.75" customHeight="1">
      <c r="A191" s="54"/>
      <c r="B191" s="55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ht="15.75" customHeight="1">
      <c r="A192" s="54"/>
      <c r="B192" s="55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ht="15.75" customHeight="1">
      <c r="A193" s="54"/>
      <c r="B193" s="55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ht="15.75" customHeight="1">
      <c r="A194" s="54"/>
      <c r="B194" s="55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ht="15.75" customHeight="1">
      <c r="A195" s="54"/>
      <c r="B195" s="55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ht="15.75" customHeight="1">
      <c r="A196" s="54"/>
      <c r="B196" s="55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ht="15.75" customHeight="1">
      <c r="A197" s="54"/>
      <c r="B197" s="55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ht="15.75" customHeight="1">
      <c r="A198" s="54"/>
      <c r="B198" s="55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ht="15.75" customHeight="1">
      <c r="A199" s="54"/>
      <c r="B199" s="55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ht="15.75" customHeight="1">
      <c r="A200" s="54"/>
      <c r="B200" s="55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ht="15.75" customHeight="1">
      <c r="A201" s="54"/>
      <c r="B201" s="55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ht="15.75" customHeight="1">
      <c r="A202" s="54"/>
      <c r="B202" s="55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ht="15.75" customHeight="1">
      <c r="A203" s="54"/>
      <c r="B203" s="55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ht="15.75" customHeight="1">
      <c r="A204" s="54"/>
      <c r="B204" s="55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ht="15.75" customHeight="1">
      <c r="A205" s="54"/>
      <c r="B205" s="55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ht="15.75" customHeight="1">
      <c r="A206" s="54"/>
      <c r="B206" s="55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ht="15.75" customHeight="1">
      <c r="A207" s="54"/>
      <c r="B207" s="55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ht="15.75" customHeight="1">
      <c r="A208" s="54"/>
      <c r="B208" s="55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ht="15.75" customHeight="1">
      <c r="A209" s="54"/>
      <c r="B209" s="55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ht="15.75" customHeight="1">
      <c r="A210" s="54"/>
      <c r="B210" s="55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ht="15.75" customHeight="1">
      <c r="A211" s="54"/>
      <c r="B211" s="55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ht="15.75" customHeight="1">
      <c r="A212" s="54"/>
      <c r="B212" s="55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ht="15.75" customHeight="1">
      <c r="A213" s="54"/>
      <c r="B213" s="55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ht="15.75" customHeight="1">
      <c r="A214" s="54"/>
      <c r="B214" s="55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ht="15.75" customHeight="1">
      <c r="A215" s="54"/>
      <c r="B215" s="55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ht="15.75" customHeight="1">
      <c r="A216" s="54"/>
      <c r="B216" s="55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ht="15.75" customHeight="1">
      <c r="A217" s="54"/>
      <c r="B217" s="55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ht="15.75" customHeight="1">
      <c r="A218" s="54"/>
      <c r="B218" s="55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ht="15.75" customHeight="1">
      <c r="A219" s="54"/>
      <c r="B219" s="55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ht="15.75" customHeight="1">
      <c r="A220" s="54"/>
      <c r="B220" s="55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ht="15.75" customHeight="1">
      <c r="A221" s="54"/>
      <c r="B221" s="55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 ht="15.75" customHeight="1">
      <c r="A222" s="54"/>
      <c r="B222" s="55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 ht="15.75" customHeight="1">
      <c r="A223" s="54"/>
      <c r="B223" s="55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 ht="15.75" customHeight="1">
      <c r="A224" s="54"/>
      <c r="B224" s="55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 ht="15.75" customHeight="1">
      <c r="A225" s="54"/>
      <c r="B225" s="55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 ht="15.75" customHeight="1">
      <c r="A226" s="54"/>
      <c r="B226" s="55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 ht="15.75" customHeight="1">
      <c r="A227" s="54"/>
      <c r="B227" s="55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 ht="15.75" customHeight="1">
      <c r="A228" s="54"/>
      <c r="B228" s="55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 ht="15.75" customHeight="1">
      <c r="A229" s="54"/>
      <c r="B229" s="55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 ht="15.75" customHeight="1">
      <c r="A230" s="54"/>
      <c r="B230" s="55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 ht="15.75" customHeight="1">
      <c r="A231" s="54"/>
      <c r="B231" s="55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 ht="15.75" customHeight="1">
      <c r="A232" s="54"/>
      <c r="B232" s="55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ht="15.75" customHeight="1">
      <c r="A233" s="54"/>
      <c r="B233" s="55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3.5"/>
    <col customWidth="1" min="2" max="3" width="10.0"/>
    <col customWidth="1" min="4" max="4" width="14.25"/>
    <col customWidth="1" min="5" max="6" width="13.13"/>
    <col customWidth="1" min="7" max="7" width="11.88"/>
    <col customWidth="1" min="8" max="8" width="14.13"/>
    <col customWidth="1" min="9" max="9" width="10.88"/>
    <col customWidth="1" min="10" max="11" width="15.75"/>
    <col customWidth="1" min="12" max="12" width="14.25"/>
    <col customWidth="1" min="13" max="13" width="11.25"/>
    <col customWidth="1" min="14" max="14" width="10.0"/>
    <col customWidth="1" min="15" max="15" width="10.5"/>
    <col customWidth="1" min="16" max="21" width="10.0"/>
    <col customWidth="1" min="22" max="22" width="19.75"/>
    <col customWidth="1" min="23" max="23" width="10.0"/>
  </cols>
  <sheetData>
    <row r="1" ht="15.75" customHeight="1">
      <c r="A1" s="2" t="s">
        <v>44</v>
      </c>
      <c r="B1" s="56"/>
      <c r="C1" s="56">
        <v>45250.0</v>
      </c>
      <c r="D1" s="2" t="s">
        <v>45</v>
      </c>
      <c r="E1" s="2" t="s">
        <v>46</v>
      </c>
      <c r="F1" s="2" t="s">
        <v>47</v>
      </c>
      <c r="G1" s="57">
        <v>45261.0</v>
      </c>
      <c r="H1" s="2" t="s">
        <v>48</v>
      </c>
      <c r="I1" s="58">
        <v>45273.0</v>
      </c>
      <c r="J1" s="59" t="s">
        <v>46</v>
      </c>
      <c r="K1" s="60" t="s">
        <v>48</v>
      </c>
      <c r="L1" s="2" t="s">
        <v>49</v>
      </c>
      <c r="M1" s="2" t="s">
        <v>47</v>
      </c>
      <c r="N1" s="2" t="s">
        <v>50</v>
      </c>
      <c r="O1" s="2" t="s">
        <v>51</v>
      </c>
      <c r="P1" s="56"/>
      <c r="Q1" s="56"/>
      <c r="R1" s="56"/>
      <c r="S1" s="56"/>
      <c r="T1" s="56"/>
    </row>
    <row r="2" ht="15.75" customHeight="1">
      <c r="A2" s="61" t="s">
        <v>6</v>
      </c>
      <c r="B2" s="16">
        <v>14000.0</v>
      </c>
      <c r="C2" s="25">
        <v>19.0</v>
      </c>
      <c r="D2" s="54">
        <v>0.0</v>
      </c>
      <c r="E2" s="54">
        <v>1.0</v>
      </c>
      <c r="F2" s="54">
        <f t="shared" ref="F2:F21" si="1">C2-E2+D2</f>
        <v>18</v>
      </c>
      <c r="G2" s="62">
        <v>18.0</v>
      </c>
      <c r="H2" s="54">
        <f t="shared" ref="H2:H21" si="2">F2-G2</f>
        <v>0</v>
      </c>
      <c r="I2" s="62">
        <v>18.0</v>
      </c>
      <c r="J2" s="54">
        <v>1.0</v>
      </c>
      <c r="K2" s="54">
        <f t="shared" ref="K2:K21" si="3">I2+J2-G2</f>
        <v>1</v>
      </c>
      <c r="L2" s="46">
        <v>2.0</v>
      </c>
      <c r="M2" s="46">
        <f t="shared" ref="M2:M4" si="4">C2-L2+D2</f>
        <v>17</v>
      </c>
      <c r="N2" s="46">
        <f t="shared" ref="N2:N21" si="5">I2-M2</f>
        <v>1</v>
      </c>
      <c r="O2" s="44">
        <f t="shared" ref="O2:O21" si="6">N2*B2</f>
        <v>14000</v>
      </c>
      <c r="P2" s="46">
        <v>17.0</v>
      </c>
      <c r="Q2" s="46">
        <f t="shared" ref="Q2:Q24" si="7">M2-P2</f>
        <v>0</v>
      </c>
      <c r="R2" s="44">
        <f t="shared" ref="R2:R21" si="8">$B2*Q2</f>
        <v>0</v>
      </c>
      <c r="V2" s="61"/>
    </row>
    <row r="3" ht="15.75" customHeight="1">
      <c r="A3" s="61" t="s">
        <v>7</v>
      </c>
      <c r="B3" s="16">
        <v>7000.0</v>
      </c>
      <c r="C3" s="25">
        <v>38.0</v>
      </c>
      <c r="D3" s="54">
        <v>18.0</v>
      </c>
      <c r="E3" s="54">
        <v>15.0</v>
      </c>
      <c r="F3" s="54">
        <f t="shared" si="1"/>
        <v>41</v>
      </c>
      <c r="G3" s="62">
        <v>36.0</v>
      </c>
      <c r="H3" s="54">
        <f t="shared" si="2"/>
        <v>5</v>
      </c>
      <c r="I3" s="62">
        <v>19.0</v>
      </c>
      <c r="J3" s="54">
        <v>19.0</v>
      </c>
      <c r="K3" s="54">
        <f t="shared" si="3"/>
        <v>2</v>
      </c>
      <c r="L3" s="46">
        <v>30.0</v>
      </c>
      <c r="M3" s="46">
        <f t="shared" si="4"/>
        <v>26</v>
      </c>
      <c r="N3" s="46">
        <f t="shared" si="5"/>
        <v>-7</v>
      </c>
      <c r="O3" s="44">
        <f t="shared" si="6"/>
        <v>-49000</v>
      </c>
      <c r="P3" s="46">
        <v>20.0</v>
      </c>
      <c r="Q3" s="46">
        <f t="shared" si="7"/>
        <v>6</v>
      </c>
      <c r="R3" s="44">
        <f t="shared" si="8"/>
        <v>42000</v>
      </c>
      <c r="V3" s="61" t="s">
        <v>52</v>
      </c>
      <c r="W3" s="46">
        <v>6.0</v>
      </c>
    </row>
    <row r="4" ht="15.75" customHeight="1">
      <c r="A4" s="61" t="s">
        <v>53</v>
      </c>
      <c r="B4" s="16">
        <v>3000.0</v>
      </c>
      <c r="C4" s="25">
        <v>146.0</v>
      </c>
      <c r="D4" s="54">
        <v>0.0</v>
      </c>
      <c r="E4" s="54">
        <v>10.0</v>
      </c>
      <c r="F4" s="54">
        <f t="shared" si="1"/>
        <v>136</v>
      </c>
      <c r="G4" s="62">
        <v>136.0</v>
      </c>
      <c r="H4" s="54">
        <f t="shared" si="2"/>
        <v>0</v>
      </c>
      <c r="I4" s="62">
        <v>129.0</v>
      </c>
      <c r="J4" s="54">
        <v>4.0</v>
      </c>
      <c r="K4" s="54">
        <f t="shared" si="3"/>
        <v>-3</v>
      </c>
      <c r="L4" s="46">
        <v>15.0</v>
      </c>
      <c r="M4" s="46">
        <f t="shared" si="4"/>
        <v>131</v>
      </c>
      <c r="N4" s="46">
        <f t="shared" si="5"/>
        <v>-2</v>
      </c>
      <c r="O4" s="44">
        <f t="shared" si="6"/>
        <v>-6000</v>
      </c>
      <c r="P4" s="46">
        <v>128.0</v>
      </c>
      <c r="Q4" s="46">
        <f t="shared" si="7"/>
        <v>3</v>
      </c>
      <c r="R4" s="44">
        <f t="shared" si="8"/>
        <v>9000</v>
      </c>
      <c r="V4" s="61" t="s">
        <v>8</v>
      </c>
      <c r="W4" s="46">
        <v>3.0</v>
      </c>
    </row>
    <row r="5" ht="15.75" customHeight="1">
      <c r="A5" s="61" t="s">
        <v>9</v>
      </c>
      <c r="B5" s="16">
        <v>6000.0</v>
      </c>
      <c r="C5" s="25">
        <v>11.0</v>
      </c>
      <c r="D5" s="54">
        <v>15.0</v>
      </c>
      <c r="E5" s="54">
        <v>11.0</v>
      </c>
      <c r="F5" s="54">
        <f t="shared" si="1"/>
        <v>15</v>
      </c>
      <c r="G5" s="62">
        <v>12.0</v>
      </c>
      <c r="H5" s="54">
        <f t="shared" si="2"/>
        <v>3</v>
      </c>
      <c r="I5" s="62">
        <v>7.0</v>
      </c>
      <c r="J5" s="54">
        <v>18.0</v>
      </c>
      <c r="K5" s="54">
        <f t="shared" si="3"/>
        <v>13</v>
      </c>
      <c r="L5" s="46">
        <v>30.0</v>
      </c>
      <c r="M5" s="46">
        <f>C5-L5+D5+15</f>
        <v>11</v>
      </c>
      <c r="N5" s="46">
        <f t="shared" si="5"/>
        <v>-4</v>
      </c>
      <c r="O5" s="44">
        <f t="shared" si="6"/>
        <v>-24000</v>
      </c>
      <c r="P5" s="46">
        <v>1.0</v>
      </c>
      <c r="Q5" s="46">
        <f t="shared" si="7"/>
        <v>10</v>
      </c>
      <c r="R5" s="44">
        <f t="shared" si="8"/>
        <v>60000</v>
      </c>
      <c r="V5" s="61" t="s">
        <v>54</v>
      </c>
      <c r="W5" s="46">
        <v>18.0</v>
      </c>
    </row>
    <row r="6" ht="15.75" customHeight="1">
      <c r="A6" s="61" t="s">
        <v>55</v>
      </c>
      <c r="B6" s="16">
        <v>7000.0</v>
      </c>
      <c r="C6" s="25">
        <v>1.0</v>
      </c>
      <c r="D6" s="54">
        <v>0.0</v>
      </c>
      <c r="E6" s="54">
        <v>1.0</v>
      </c>
      <c r="F6" s="54">
        <f t="shared" si="1"/>
        <v>0</v>
      </c>
      <c r="G6" s="62">
        <v>0.0</v>
      </c>
      <c r="H6" s="54">
        <f t="shared" si="2"/>
        <v>0</v>
      </c>
      <c r="I6" s="62">
        <v>0.0</v>
      </c>
      <c r="J6" s="54">
        <v>0.0</v>
      </c>
      <c r="K6" s="54">
        <f t="shared" si="3"/>
        <v>0</v>
      </c>
      <c r="L6" s="46">
        <v>1.0</v>
      </c>
      <c r="M6" s="46">
        <f t="shared" ref="M6:M15" si="9">C6-L6+D6</f>
        <v>0</v>
      </c>
      <c r="N6" s="46">
        <f t="shared" si="5"/>
        <v>0</v>
      </c>
      <c r="O6" s="44">
        <f t="shared" si="6"/>
        <v>0</v>
      </c>
      <c r="P6" s="46">
        <v>0.0</v>
      </c>
      <c r="Q6" s="46">
        <f t="shared" si="7"/>
        <v>0</v>
      </c>
      <c r="R6" s="44">
        <f t="shared" si="8"/>
        <v>0</v>
      </c>
      <c r="V6" s="61" t="s">
        <v>56</v>
      </c>
      <c r="W6" s="46">
        <v>4.0</v>
      </c>
    </row>
    <row r="7" ht="15.75" customHeight="1">
      <c r="A7" s="61" t="s">
        <v>11</v>
      </c>
      <c r="B7" s="16">
        <v>5000.0</v>
      </c>
      <c r="C7" s="25">
        <v>2.0</v>
      </c>
      <c r="D7" s="54">
        <v>11.0</v>
      </c>
      <c r="E7" s="54">
        <v>8.0</v>
      </c>
      <c r="F7" s="54">
        <f t="shared" si="1"/>
        <v>5</v>
      </c>
      <c r="G7" s="62">
        <v>3.0</v>
      </c>
      <c r="H7" s="54">
        <f t="shared" si="2"/>
        <v>2</v>
      </c>
      <c r="I7" s="62">
        <v>0.0</v>
      </c>
      <c r="J7" s="54">
        <v>3.0</v>
      </c>
      <c r="K7" s="54">
        <f t="shared" si="3"/>
        <v>0</v>
      </c>
      <c r="L7" s="46">
        <v>11.0</v>
      </c>
      <c r="M7" s="46">
        <f t="shared" si="9"/>
        <v>2</v>
      </c>
      <c r="N7" s="46">
        <f t="shared" si="5"/>
        <v>-2</v>
      </c>
      <c r="O7" s="44">
        <f t="shared" si="6"/>
        <v>-10000</v>
      </c>
      <c r="P7" s="46">
        <v>0.0</v>
      </c>
      <c r="Q7" s="46">
        <f t="shared" si="7"/>
        <v>2</v>
      </c>
      <c r="R7" s="44">
        <f t="shared" si="8"/>
        <v>10000</v>
      </c>
      <c r="V7" s="61" t="s">
        <v>11</v>
      </c>
      <c r="W7" s="46">
        <v>2.0</v>
      </c>
    </row>
    <row r="8" ht="15.75" customHeight="1">
      <c r="A8" s="61" t="s">
        <v>12</v>
      </c>
      <c r="B8" s="16">
        <v>8000.0</v>
      </c>
      <c r="C8" s="25">
        <v>5.0</v>
      </c>
      <c r="D8" s="54">
        <v>0.0</v>
      </c>
      <c r="E8" s="54">
        <v>0.0</v>
      </c>
      <c r="F8" s="54">
        <f t="shared" si="1"/>
        <v>5</v>
      </c>
      <c r="G8" s="62">
        <v>5.0</v>
      </c>
      <c r="H8" s="54">
        <f t="shared" si="2"/>
        <v>0</v>
      </c>
      <c r="I8" s="62">
        <v>3.0</v>
      </c>
      <c r="J8" s="54">
        <v>1.0</v>
      </c>
      <c r="K8" s="54">
        <f t="shared" si="3"/>
        <v>-1</v>
      </c>
      <c r="L8" s="46">
        <v>1.0</v>
      </c>
      <c r="M8" s="46">
        <f t="shared" si="9"/>
        <v>4</v>
      </c>
      <c r="N8" s="46">
        <f t="shared" si="5"/>
        <v>-1</v>
      </c>
      <c r="O8" s="44">
        <f t="shared" si="6"/>
        <v>-8000</v>
      </c>
      <c r="P8" s="46">
        <v>3.0</v>
      </c>
      <c r="Q8" s="46">
        <f t="shared" si="7"/>
        <v>1</v>
      </c>
      <c r="R8" s="44">
        <f t="shared" si="8"/>
        <v>8000</v>
      </c>
      <c r="V8" s="61" t="s">
        <v>12</v>
      </c>
      <c r="W8" s="46">
        <v>1.0</v>
      </c>
    </row>
    <row r="9" ht="15.75" customHeight="1">
      <c r="A9" s="61" t="s">
        <v>13</v>
      </c>
      <c r="B9" s="16">
        <v>6000.0</v>
      </c>
      <c r="C9" s="25">
        <v>25.0</v>
      </c>
      <c r="D9" s="54">
        <v>0.0</v>
      </c>
      <c r="E9" s="54">
        <v>4.0</v>
      </c>
      <c r="F9" s="54">
        <f t="shared" si="1"/>
        <v>21</v>
      </c>
      <c r="G9" s="62">
        <v>22.0</v>
      </c>
      <c r="H9" s="54">
        <f t="shared" si="2"/>
        <v>-1</v>
      </c>
      <c r="I9" s="62">
        <v>12.0</v>
      </c>
      <c r="J9" s="54">
        <v>10.0</v>
      </c>
      <c r="K9" s="54">
        <f t="shared" si="3"/>
        <v>0</v>
      </c>
      <c r="L9" s="46">
        <v>15.0</v>
      </c>
      <c r="M9" s="46">
        <f t="shared" si="9"/>
        <v>10</v>
      </c>
      <c r="N9" s="46">
        <f t="shared" si="5"/>
        <v>2</v>
      </c>
      <c r="O9" s="44">
        <f t="shared" si="6"/>
        <v>12000</v>
      </c>
      <c r="P9" s="46">
        <v>11.0</v>
      </c>
      <c r="Q9" s="46">
        <f t="shared" si="7"/>
        <v>-1</v>
      </c>
      <c r="R9" s="44">
        <f t="shared" si="8"/>
        <v>-6000</v>
      </c>
      <c r="V9" s="61" t="s">
        <v>22</v>
      </c>
      <c r="W9" s="46">
        <v>1.0</v>
      </c>
    </row>
    <row r="10" ht="15.75" customHeight="1">
      <c r="A10" s="61" t="s">
        <v>15</v>
      </c>
      <c r="B10" s="16">
        <v>1500.0</v>
      </c>
      <c r="C10" s="25">
        <v>5.0</v>
      </c>
      <c r="D10" s="54">
        <v>0.0</v>
      </c>
      <c r="E10" s="54">
        <v>2.0</v>
      </c>
      <c r="F10" s="54">
        <f t="shared" si="1"/>
        <v>3</v>
      </c>
      <c r="G10" s="62">
        <v>9.0</v>
      </c>
      <c r="H10" s="54">
        <f t="shared" si="2"/>
        <v>-6</v>
      </c>
      <c r="I10" s="62">
        <v>1.0</v>
      </c>
      <c r="J10" s="54">
        <v>5.0</v>
      </c>
      <c r="K10" s="54">
        <f t="shared" si="3"/>
        <v>-3</v>
      </c>
      <c r="L10" s="46">
        <v>7.0</v>
      </c>
      <c r="M10" s="46">
        <f t="shared" si="9"/>
        <v>-2</v>
      </c>
      <c r="N10" s="46">
        <f t="shared" si="5"/>
        <v>3</v>
      </c>
      <c r="O10" s="44">
        <f t="shared" si="6"/>
        <v>4500</v>
      </c>
      <c r="P10" s="46">
        <v>1.0</v>
      </c>
      <c r="Q10" s="46">
        <f t="shared" si="7"/>
        <v>-3</v>
      </c>
      <c r="R10" s="44">
        <f t="shared" si="8"/>
        <v>-4500</v>
      </c>
      <c r="V10" s="61"/>
    </row>
    <row r="11" ht="15.75" customHeight="1">
      <c r="A11" s="61" t="s">
        <v>16</v>
      </c>
      <c r="B11" s="16">
        <v>1500.0</v>
      </c>
      <c r="C11" s="25">
        <v>10.0</v>
      </c>
      <c r="D11" s="54">
        <v>0.0</v>
      </c>
      <c r="E11" s="54">
        <v>1.0</v>
      </c>
      <c r="F11" s="54">
        <f t="shared" si="1"/>
        <v>9</v>
      </c>
      <c r="G11" s="62">
        <v>0.0</v>
      </c>
      <c r="H11" s="54">
        <f t="shared" si="2"/>
        <v>9</v>
      </c>
      <c r="I11" s="62">
        <v>5.0</v>
      </c>
      <c r="J11" s="54">
        <v>0.0</v>
      </c>
      <c r="K11" s="54">
        <f t="shared" si="3"/>
        <v>5</v>
      </c>
      <c r="L11" s="46">
        <v>1.0</v>
      </c>
      <c r="M11" s="46">
        <f t="shared" si="9"/>
        <v>9</v>
      </c>
      <c r="N11" s="46">
        <f t="shared" si="5"/>
        <v>-4</v>
      </c>
      <c r="O11" s="44">
        <f t="shared" si="6"/>
        <v>-6000</v>
      </c>
      <c r="P11" s="46">
        <v>5.0</v>
      </c>
      <c r="Q11" s="46">
        <f t="shared" si="7"/>
        <v>4</v>
      </c>
      <c r="R11" s="44">
        <f t="shared" si="8"/>
        <v>6000</v>
      </c>
    </row>
    <row r="12" ht="15.75" customHeight="1">
      <c r="A12" s="61" t="s">
        <v>17</v>
      </c>
      <c r="B12" s="16">
        <v>1500.0</v>
      </c>
      <c r="C12" s="25">
        <v>189.0</v>
      </c>
      <c r="D12" s="54">
        <v>0.0</v>
      </c>
      <c r="E12" s="54">
        <v>3.0</v>
      </c>
      <c r="F12" s="54">
        <f t="shared" si="1"/>
        <v>186</v>
      </c>
      <c r="G12" s="62">
        <v>186.0</v>
      </c>
      <c r="H12" s="54">
        <f t="shared" si="2"/>
        <v>0</v>
      </c>
      <c r="I12" s="62">
        <v>173.0</v>
      </c>
      <c r="J12" s="54">
        <v>0.0</v>
      </c>
      <c r="K12" s="54">
        <f t="shared" si="3"/>
        <v>-13</v>
      </c>
      <c r="L12" s="46">
        <v>3.0</v>
      </c>
      <c r="M12" s="46">
        <f t="shared" si="9"/>
        <v>186</v>
      </c>
      <c r="N12" s="46">
        <f t="shared" si="5"/>
        <v>-13</v>
      </c>
      <c r="O12" s="44">
        <f t="shared" si="6"/>
        <v>-19500</v>
      </c>
      <c r="P12" s="46">
        <v>186.0</v>
      </c>
      <c r="Q12" s="46">
        <f t="shared" si="7"/>
        <v>0</v>
      </c>
      <c r="R12" s="44">
        <f t="shared" si="8"/>
        <v>0</v>
      </c>
      <c r="V12" s="61"/>
    </row>
    <row r="13" ht="15.75" customHeight="1">
      <c r="A13" s="61" t="s">
        <v>18</v>
      </c>
      <c r="B13" s="16">
        <v>600.0</v>
      </c>
      <c r="C13" s="25">
        <v>34.0</v>
      </c>
      <c r="D13" s="54">
        <v>0.0</v>
      </c>
      <c r="E13" s="54">
        <v>7.0</v>
      </c>
      <c r="F13" s="54">
        <f t="shared" si="1"/>
        <v>27</v>
      </c>
      <c r="G13" s="62">
        <v>27.0</v>
      </c>
      <c r="H13" s="54">
        <f t="shared" si="2"/>
        <v>0</v>
      </c>
      <c r="I13" s="62">
        <v>21.0</v>
      </c>
      <c r="J13" s="54">
        <v>6.0</v>
      </c>
      <c r="K13" s="54">
        <f t="shared" si="3"/>
        <v>0</v>
      </c>
      <c r="L13" s="46">
        <v>13.0</v>
      </c>
      <c r="M13" s="46">
        <f t="shared" si="9"/>
        <v>21</v>
      </c>
      <c r="N13" s="46">
        <f t="shared" si="5"/>
        <v>0</v>
      </c>
      <c r="O13" s="44">
        <f t="shared" si="6"/>
        <v>0</v>
      </c>
      <c r="P13" s="46">
        <v>21.0</v>
      </c>
      <c r="Q13" s="46">
        <f t="shared" si="7"/>
        <v>0</v>
      </c>
      <c r="R13" s="44">
        <f t="shared" si="8"/>
        <v>0</v>
      </c>
      <c r="V13" s="61"/>
    </row>
    <row r="14" ht="15.75" customHeight="1">
      <c r="A14" s="61" t="s">
        <v>19</v>
      </c>
      <c r="B14" s="16">
        <v>1000.0</v>
      </c>
      <c r="C14" s="25">
        <v>144.0</v>
      </c>
      <c r="D14" s="54">
        <v>0.0</v>
      </c>
      <c r="E14" s="54">
        <v>4.0</v>
      </c>
      <c r="F14" s="54">
        <f t="shared" si="1"/>
        <v>140</v>
      </c>
      <c r="G14" s="62">
        <f>57+51+32</f>
        <v>140</v>
      </c>
      <c r="H14" s="54">
        <f t="shared" si="2"/>
        <v>0</v>
      </c>
      <c r="I14" s="62">
        <v>137.0</v>
      </c>
      <c r="J14" s="54">
        <v>3.0</v>
      </c>
      <c r="K14" s="54">
        <f t="shared" si="3"/>
        <v>0</v>
      </c>
      <c r="L14" s="46">
        <v>7.0</v>
      </c>
      <c r="M14" s="46">
        <f t="shared" si="9"/>
        <v>137</v>
      </c>
      <c r="N14" s="46">
        <f t="shared" si="5"/>
        <v>0</v>
      </c>
      <c r="O14" s="44">
        <f t="shared" si="6"/>
        <v>0</v>
      </c>
      <c r="P14" s="46">
        <v>138.0</v>
      </c>
      <c r="Q14" s="46">
        <f t="shared" si="7"/>
        <v>-1</v>
      </c>
      <c r="R14" s="44">
        <f t="shared" si="8"/>
        <v>-1000</v>
      </c>
      <c r="V14" s="61"/>
    </row>
    <row r="15" ht="15.75" customHeight="1">
      <c r="A15" s="61" t="s">
        <v>22</v>
      </c>
      <c r="B15" s="16">
        <v>15000.0</v>
      </c>
      <c r="C15" s="25">
        <v>5.0</v>
      </c>
      <c r="D15" s="54">
        <v>0.0</v>
      </c>
      <c r="E15" s="54">
        <v>0.0</v>
      </c>
      <c r="F15" s="54">
        <f t="shared" si="1"/>
        <v>5</v>
      </c>
      <c r="G15" s="62">
        <v>5.0</v>
      </c>
      <c r="H15" s="54">
        <f t="shared" si="2"/>
        <v>0</v>
      </c>
      <c r="I15" s="62">
        <v>3.0</v>
      </c>
      <c r="J15" s="54">
        <v>1.0</v>
      </c>
      <c r="K15" s="54">
        <f t="shared" si="3"/>
        <v>-1</v>
      </c>
      <c r="L15" s="46">
        <v>1.0</v>
      </c>
      <c r="M15" s="46">
        <f t="shared" si="9"/>
        <v>4</v>
      </c>
      <c r="N15" s="46">
        <f t="shared" si="5"/>
        <v>-1</v>
      </c>
      <c r="O15" s="44">
        <f t="shared" si="6"/>
        <v>-15000</v>
      </c>
      <c r="P15" s="46">
        <v>3.0</v>
      </c>
      <c r="Q15" s="46">
        <f t="shared" si="7"/>
        <v>1</v>
      </c>
      <c r="R15" s="44">
        <f t="shared" si="8"/>
        <v>15000</v>
      </c>
    </row>
    <row r="16" ht="15.75" customHeight="1">
      <c r="A16" s="61" t="s">
        <v>23</v>
      </c>
      <c r="B16" s="16">
        <v>6000.0</v>
      </c>
      <c r="C16" s="25">
        <v>8.0</v>
      </c>
      <c r="D16" s="54">
        <v>15.0</v>
      </c>
      <c r="E16" s="54">
        <v>4.0</v>
      </c>
      <c r="F16" s="54">
        <f t="shared" si="1"/>
        <v>19</v>
      </c>
      <c r="G16" s="62">
        <v>14.0</v>
      </c>
      <c r="H16" s="54">
        <f t="shared" si="2"/>
        <v>5</v>
      </c>
      <c r="I16" s="62">
        <v>21.0</v>
      </c>
      <c r="J16" s="54">
        <v>8.0</v>
      </c>
      <c r="K16" s="54">
        <f t="shared" si="3"/>
        <v>15</v>
      </c>
      <c r="L16" s="46">
        <v>12.0</v>
      </c>
      <c r="M16" s="46">
        <f>C16-L16+D16+15</f>
        <v>26</v>
      </c>
      <c r="N16" s="46">
        <f t="shared" si="5"/>
        <v>-5</v>
      </c>
      <c r="O16" s="44">
        <f t="shared" si="6"/>
        <v>-30000</v>
      </c>
      <c r="P16" s="46">
        <v>18.0</v>
      </c>
      <c r="Q16" s="46">
        <f t="shared" si="7"/>
        <v>8</v>
      </c>
      <c r="R16" s="44">
        <f t="shared" si="8"/>
        <v>48000</v>
      </c>
    </row>
    <row r="17" ht="15.75" customHeight="1">
      <c r="A17" s="61" t="s">
        <v>24</v>
      </c>
      <c r="B17" s="16">
        <v>9500.0</v>
      </c>
      <c r="C17" s="25">
        <v>9.0</v>
      </c>
      <c r="D17" s="54">
        <v>0.0</v>
      </c>
      <c r="E17" s="54">
        <v>4.0</v>
      </c>
      <c r="F17" s="54">
        <f t="shared" si="1"/>
        <v>5</v>
      </c>
      <c r="G17" s="62">
        <v>6.0</v>
      </c>
      <c r="H17" s="54">
        <f t="shared" si="2"/>
        <v>-1</v>
      </c>
      <c r="I17" s="62">
        <v>1.0</v>
      </c>
      <c r="J17" s="54">
        <v>5.0</v>
      </c>
      <c r="K17" s="54">
        <f t="shared" si="3"/>
        <v>0</v>
      </c>
      <c r="L17" s="46">
        <v>9.0</v>
      </c>
      <c r="M17" s="46">
        <f t="shared" ref="M17:M21" si="10">C17-L17+D17</f>
        <v>0</v>
      </c>
      <c r="N17" s="46">
        <f t="shared" si="5"/>
        <v>1</v>
      </c>
      <c r="O17" s="44">
        <f t="shared" si="6"/>
        <v>9500</v>
      </c>
      <c r="P17" s="46">
        <v>1.0</v>
      </c>
      <c r="Q17" s="46">
        <f t="shared" si="7"/>
        <v>-1</v>
      </c>
      <c r="R17" s="44">
        <f t="shared" si="8"/>
        <v>-9500</v>
      </c>
      <c r="V17" s="61"/>
    </row>
    <row r="18" ht="15.75" customHeight="1">
      <c r="A18" s="61" t="s">
        <v>25</v>
      </c>
      <c r="B18" s="16">
        <v>14000.0</v>
      </c>
      <c r="C18" s="25">
        <v>1.0</v>
      </c>
      <c r="D18" s="54">
        <v>6.0</v>
      </c>
      <c r="E18" s="54">
        <v>4.0</v>
      </c>
      <c r="F18" s="54">
        <f t="shared" si="1"/>
        <v>3</v>
      </c>
      <c r="G18" s="62">
        <v>3.0</v>
      </c>
      <c r="H18" s="54">
        <f t="shared" si="2"/>
        <v>0</v>
      </c>
      <c r="I18" s="62">
        <v>0.0</v>
      </c>
      <c r="J18" s="54">
        <v>3.0</v>
      </c>
      <c r="K18" s="54">
        <f t="shared" si="3"/>
        <v>0</v>
      </c>
      <c r="L18" s="46">
        <v>7.0</v>
      </c>
      <c r="M18" s="46">
        <f t="shared" si="10"/>
        <v>0</v>
      </c>
      <c r="N18" s="46">
        <f t="shared" si="5"/>
        <v>0</v>
      </c>
      <c r="O18" s="44">
        <f t="shared" si="6"/>
        <v>0</v>
      </c>
      <c r="P18" s="46">
        <v>0.0</v>
      </c>
      <c r="Q18" s="46">
        <f t="shared" si="7"/>
        <v>0</v>
      </c>
      <c r="R18" s="44">
        <f t="shared" si="8"/>
        <v>0</v>
      </c>
      <c r="V18" s="61"/>
    </row>
    <row r="19" ht="15.75" customHeight="1">
      <c r="A19" s="61" t="s">
        <v>26</v>
      </c>
      <c r="B19" s="16">
        <v>10000.0</v>
      </c>
      <c r="C19" s="25">
        <v>3.0</v>
      </c>
      <c r="D19" s="54">
        <v>9.0</v>
      </c>
      <c r="E19" s="54">
        <v>9.0</v>
      </c>
      <c r="F19" s="54">
        <f t="shared" si="1"/>
        <v>3</v>
      </c>
      <c r="G19" s="62">
        <v>5.0</v>
      </c>
      <c r="H19" s="54">
        <f t="shared" si="2"/>
        <v>-2</v>
      </c>
      <c r="I19" s="62">
        <v>1.0</v>
      </c>
      <c r="J19" s="54">
        <v>4.0</v>
      </c>
      <c r="K19" s="54">
        <f t="shared" si="3"/>
        <v>0</v>
      </c>
      <c r="L19" s="46">
        <v>12.0</v>
      </c>
      <c r="M19" s="46">
        <f t="shared" si="10"/>
        <v>0</v>
      </c>
      <c r="N19" s="46">
        <f t="shared" si="5"/>
        <v>1</v>
      </c>
      <c r="O19" s="44">
        <f t="shared" si="6"/>
        <v>10000</v>
      </c>
      <c r="P19" s="46">
        <v>1.0</v>
      </c>
      <c r="Q19" s="46">
        <f t="shared" si="7"/>
        <v>-1</v>
      </c>
      <c r="R19" s="44">
        <f t="shared" si="8"/>
        <v>-10000</v>
      </c>
      <c r="V19" s="61"/>
    </row>
    <row r="20" ht="15.75" customHeight="1">
      <c r="A20" s="61" t="s">
        <v>40</v>
      </c>
      <c r="B20" s="16">
        <v>15000.0</v>
      </c>
      <c r="C20" s="25">
        <v>6.0</v>
      </c>
      <c r="D20" s="54">
        <v>0.0</v>
      </c>
      <c r="E20" s="54">
        <v>2.0</v>
      </c>
      <c r="F20" s="54">
        <f t="shared" si="1"/>
        <v>4</v>
      </c>
      <c r="G20" s="62">
        <v>4.0</v>
      </c>
      <c r="H20" s="54">
        <f t="shared" si="2"/>
        <v>0</v>
      </c>
      <c r="I20" s="62">
        <v>0.0</v>
      </c>
      <c r="J20" s="54">
        <v>4.0</v>
      </c>
      <c r="K20" s="54">
        <f t="shared" si="3"/>
        <v>0</v>
      </c>
      <c r="L20" s="46">
        <v>6.0</v>
      </c>
      <c r="M20" s="46">
        <f t="shared" si="10"/>
        <v>0</v>
      </c>
      <c r="N20" s="46">
        <f t="shared" si="5"/>
        <v>0</v>
      </c>
      <c r="O20" s="44">
        <f t="shared" si="6"/>
        <v>0</v>
      </c>
      <c r="P20" s="46">
        <v>0.0</v>
      </c>
      <c r="Q20" s="46">
        <f t="shared" si="7"/>
        <v>0</v>
      </c>
      <c r="R20" s="44">
        <f t="shared" si="8"/>
        <v>0</v>
      </c>
      <c r="V20" s="61"/>
    </row>
    <row r="21" ht="15.75" customHeight="1">
      <c r="A21" s="61" t="s">
        <v>29</v>
      </c>
      <c r="B21" s="16">
        <v>22000.0</v>
      </c>
      <c r="C21" s="25">
        <v>0.0</v>
      </c>
      <c r="D21" s="54">
        <v>5.0</v>
      </c>
      <c r="E21" s="54">
        <v>4.0</v>
      </c>
      <c r="F21" s="54">
        <f t="shared" si="1"/>
        <v>1</v>
      </c>
      <c r="G21" s="62">
        <v>1.0</v>
      </c>
      <c r="H21" s="54">
        <f t="shared" si="2"/>
        <v>0</v>
      </c>
      <c r="I21" s="62">
        <v>1.0</v>
      </c>
      <c r="J21" s="54">
        <v>0.0</v>
      </c>
      <c r="K21" s="54">
        <f t="shared" si="3"/>
        <v>0</v>
      </c>
      <c r="L21" s="46">
        <v>4.0</v>
      </c>
      <c r="M21" s="46">
        <f t="shared" si="10"/>
        <v>1</v>
      </c>
      <c r="N21" s="46">
        <f t="shared" si="5"/>
        <v>0</v>
      </c>
      <c r="O21" s="44">
        <f t="shared" si="6"/>
        <v>0</v>
      </c>
      <c r="P21" s="46">
        <v>1.0</v>
      </c>
      <c r="Q21" s="46">
        <f t="shared" si="7"/>
        <v>0</v>
      </c>
      <c r="R21" s="44">
        <f t="shared" si="8"/>
        <v>0</v>
      </c>
      <c r="V21" s="61"/>
    </row>
    <row r="22" ht="15.75" customHeight="1">
      <c r="A22" s="46" t="s">
        <v>57</v>
      </c>
      <c r="G22" s="63"/>
      <c r="H22" s="64"/>
      <c r="I22" s="65"/>
      <c r="O22" s="44">
        <f>SUM(O2:O21)</f>
        <v>-117500</v>
      </c>
      <c r="P22" s="46">
        <v>8.0</v>
      </c>
      <c r="Q22" s="46">
        <f t="shared" si="7"/>
        <v>-8</v>
      </c>
      <c r="R22" s="44">
        <f>SUM(R2:R21)</f>
        <v>167000</v>
      </c>
    </row>
    <row r="23" ht="15.75" customHeight="1">
      <c r="A23" s="46" t="s">
        <v>58</v>
      </c>
      <c r="G23" s="63"/>
      <c r="I23" s="66"/>
      <c r="J23" s="67"/>
      <c r="K23" s="67"/>
      <c r="P23" s="46">
        <v>10.0</v>
      </c>
      <c r="Q23" s="46">
        <f t="shared" si="7"/>
        <v>-10</v>
      </c>
    </row>
    <row r="24" ht="15.75" customHeight="1">
      <c r="A24" s="46" t="s">
        <v>59</v>
      </c>
      <c r="G24" s="63"/>
      <c r="I24" s="66"/>
      <c r="J24" s="67"/>
      <c r="K24" s="67"/>
      <c r="P24" s="46">
        <v>10.0</v>
      </c>
      <c r="Q24" s="46">
        <f t="shared" si="7"/>
        <v>-10</v>
      </c>
    </row>
    <row r="25" ht="15.75" customHeight="1">
      <c r="A25" s="46" t="s">
        <v>60</v>
      </c>
      <c r="G25" s="63"/>
      <c r="I25" s="66"/>
      <c r="J25" s="67"/>
      <c r="K25" s="67"/>
    </row>
    <row r="26" ht="15.75" customHeight="1">
      <c r="G26" s="63"/>
      <c r="I26" s="66"/>
      <c r="J26" s="67"/>
      <c r="K26" s="67"/>
    </row>
    <row r="27" ht="15.75" customHeight="1">
      <c r="G27" s="63"/>
      <c r="I27" s="66"/>
      <c r="J27" s="67"/>
      <c r="K27" s="67"/>
    </row>
    <row r="28" ht="15.75" customHeight="1">
      <c r="G28" s="63"/>
      <c r="I28" s="66"/>
      <c r="J28" s="67"/>
      <c r="K28" s="67"/>
    </row>
    <row r="29" ht="15.75" customHeight="1">
      <c r="G29" s="63"/>
      <c r="I29" s="66"/>
      <c r="J29" s="67"/>
      <c r="K29" s="67"/>
    </row>
    <row r="30" ht="15.75" customHeight="1">
      <c r="G30" s="63"/>
      <c r="I30" s="66"/>
      <c r="J30" s="67"/>
      <c r="K30" s="67"/>
    </row>
    <row r="31" ht="15.75" customHeight="1">
      <c r="G31" s="63"/>
      <c r="I31" s="66"/>
      <c r="J31" s="67"/>
      <c r="K31" s="67"/>
    </row>
    <row r="32" ht="15.75" customHeight="1">
      <c r="G32" s="63"/>
      <c r="I32" s="66"/>
      <c r="J32" s="67"/>
      <c r="K32" s="67"/>
    </row>
    <row r="33" ht="15.75" customHeight="1">
      <c r="G33" s="63"/>
      <c r="I33" s="66"/>
      <c r="J33" s="67"/>
      <c r="K33" s="67"/>
    </row>
    <row r="34" ht="15.75" customHeight="1">
      <c r="G34" s="63"/>
      <c r="I34" s="66"/>
      <c r="J34" s="67"/>
      <c r="K34" s="67"/>
    </row>
    <row r="35" ht="15.75" customHeight="1">
      <c r="G35" s="63"/>
      <c r="I35" s="66"/>
      <c r="J35" s="67"/>
      <c r="K35" s="67"/>
    </row>
    <row r="36" ht="15.75" customHeight="1">
      <c r="G36" s="63"/>
      <c r="I36" s="66"/>
      <c r="J36" s="67"/>
      <c r="K36" s="67"/>
    </row>
    <row r="37" ht="15.75" customHeight="1">
      <c r="G37" s="63"/>
      <c r="I37" s="66"/>
      <c r="J37" s="67"/>
      <c r="K37" s="67"/>
    </row>
    <row r="38" ht="15.75" customHeight="1">
      <c r="G38" s="63"/>
      <c r="I38" s="66"/>
      <c r="J38" s="67"/>
      <c r="K38" s="67"/>
    </row>
    <row r="39" ht="15.75" customHeight="1">
      <c r="G39" s="63"/>
      <c r="I39" s="66"/>
      <c r="J39" s="67"/>
      <c r="K39" s="67"/>
    </row>
    <row r="40" ht="15.75" customHeight="1">
      <c r="G40" s="63"/>
      <c r="I40" s="66"/>
      <c r="J40" s="67"/>
      <c r="K40" s="67"/>
    </row>
    <row r="41" ht="15.75" customHeight="1">
      <c r="G41" s="63"/>
      <c r="I41" s="66"/>
      <c r="J41" s="67"/>
      <c r="K41" s="67"/>
    </row>
    <row r="42" ht="15.75" customHeight="1">
      <c r="G42" s="63"/>
      <c r="I42" s="66"/>
      <c r="J42" s="67"/>
      <c r="K42" s="67"/>
    </row>
    <row r="43" ht="15.75" customHeight="1">
      <c r="G43" s="63"/>
      <c r="I43" s="66"/>
      <c r="J43" s="67"/>
      <c r="K43" s="67"/>
    </row>
    <row r="44" ht="15.75" customHeight="1">
      <c r="G44" s="63"/>
      <c r="I44" s="66"/>
      <c r="J44" s="67"/>
      <c r="K44" s="67"/>
    </row>
    <row r="45" ht="15.75" customHeight="1">
      <c r="G45" s="63"/>
      <c r="I45" s="66"/>
      <c r="J45" s="67"/>
      <c r="K45" s="67"/>
    </row>
    <row r="46" ht="15.75" customHeight="1">
      <c r="G46" s="63"/>
      <c r="I46" s="66"/>
      <c r="J46" s="67"/>
      <c r="K46" s="67"/>
    </row>
    <row r="47" ht="15.75" customHeight="1">
      <c r="G47" s="63"/>
      <c r="I47" s="66"/>
      <c r="J47" s="67"/>
      <c r="K47" s="67"/>
    </row>
    <row r="48" ht="15.75" customHeight="1">
      <c r="G48" s="63"/>
      <c r="I48" s="66"/>
      <c r="J48" s="67"/>
      <c r="K48" s="67"/>
    </row>
    <row r="49" ht="15.75" customHeight="1">
      <c r="G49" s="63"/>
      <c r="I49" s="66"/>
      <c r="J49" s="67"/>
      <c r="K49" s="67"/>
    </row>
    <row r="50" ht="15.75" customHeight="1">
      <c r="G50" s="63"/>
      <c r="I50" s="66"/>
      <c r="J50" s="67"/>
      <c r="K50" s="67"/>
    </row>
    <row r="51" ht="15.75" customHeight="1">
      <c r="G51" s="63"/>
      <c r="I51" s="66"/>
      <c r="J51" s="67"/>
      <c r="K51" s="67"/>
    </row>
    <row r="52" ht="15.75" customHeight="1">
      <c r="G52" s="63"/>
      <c r="I52" s="66"/>
      <c r="J52" s="67"/>
      <c r="K52" s="67"/>
    </row>
    <row r="53" ht="15.75" customHeight="1">
      <c r="G53" s="63"/>
      <c r="I53" s="66"/>
      <c r="J53" s="67"/>
      <c r="K53" s="67"/>
    </row>
    <row r="54" ht="15.75" customHeight="1">
      <c r="G54" s="63"/>
      <c r="I54" s="66"/>
      <c r="J54" s="67"/>
      <c r="K54" s="67"/>
    </row>
    <row r="55" ht="15.75" customHeight="1">
      <c r="G55" s="63"/>
      <c r="I55" s="66"/>
      <c r="J55" s="67"/>
      <c r="K55" s="67"/>
    </row>
    <row r="56" ht="15.75" customHeight="1">
      <c r="G56" s="63"/>
      <c r="I56" s="66"/>
      <c r="J56" s="67"/>
      <c r="K56" s="67"/>
    </row>
    <row r="57" ht="15.75" customHeight="1">
      <c r="G57" s="63"/>
      <c r="I57" s="66"/>
      <c r="J57" s="67"/>
      <c r="K57" s="67"/>
    </row>
    <row r="58" ht="15.75" customHeight="1">
      <c r="G58" s="63"/>
      <c r="I58" s="66"/>
      <c r="J58" s="67"/>
      <c r="K58" s="67"/>
    </row>
    <row r="59" ht="15.75" customHeight="1">
      <c r="G59" s="63"/>
      <c r="I59" s="66"/>
      <c r="J59" s="67"/>
      <c r="K59" s="67"/>
    </row>
    <row r="60" ht="15.75" customHeight="1">
      <c r="G60" s="63"/>
      <c r="I60" s="66"/>
      <c r="J60" s="67"/>
      <c r="K60" s="67"/>
    </row>
    <row r="61" ht="15.75" customHeight="1">
      <c r="G61" s="63"/>
      <c r="I61" s="66"/>
      <c r="J61" s="67"/>
      <c r="K61" s="67"/>
    </row>
    <row r="62" ht="15.75" customHeight="1">
      <c r="G62" s="63"/>
      <c r="I62" s="66"/>
      <c r="J62" s="67"/>
      <c r="K62" s="67"/>
    </row>
    <row r="63" ht="15.75" customHeight="1">
      <c r="G63" s="63"/>
      <c r="I63" s="66"/>
      <c r="J63" s="67"/>
      <c r="K63" s="67"/>
    </row>
    <row r="64" ht="15.75" customHeight="1">
      <c r="G64" s="63"/>
      <c r="I64" s="66"/>
      <c r="J64" s="67"/>
      <c r="K64" s="67"/>
    </row>
    <row r="65" ht="15.75" customHeight="1">
      <c r="G65" s="63"/>
      <c r="I65" s="66"/>
      <c r="J65" s="67"/>
      <c r="K65" s="67"/>
    </row>
    <row r="66" ht="15.75" customHeight="1">
      <c r="G66" s="63"/>
      <c r="I66" s="66"/>
      <c r="J66" s="67"/>
      <c r="K66" s="67"/>
    </row>
    <row r="67" ht="15.75" customHeight="1">
      <c r="G67" s="63"/>
      <c r="I67" s="66"/>
      <c r="J67" s="67"/>
      <c r="K67" s="67"/>
    </row>
    <row r="68" ht="15.75" customHeight="1">
      <c r="G68" s="63"/>
      <c r="I68" s="66"/>
      <c r="J68" s="67"/>
      <c r="K68" s="67"/>
    </row>
    <row r="69" ht="15.75" customHeight="1">
      <c r="G69" s="63"/>
      <c r="I69" s="66"/>
      <c r="J69" s="67"/>
      <c r="K69" s="67"/>
    </row>
    <row r="70" ht="15.75" customHeight="1">
      <c r="G70" s="63"/>
      <c r="I70" s="66"/>
      <c r="J70" s="67"/>
      <c r="K70" s="67"/>
    </row>
    <row r="71" ht="15.75" customHeight="1">
      <c r="G71" s="63"/>
      <c r="I71" s="66"/>
      <c r="J71" s="67"/>
      <c r="K71" s="67"/>
    </row>
    <row r="72" ht="15.75" customHeight="1">
      <c r="G72" s="63"/>
      <c r="I72" s="66"/>
      <c r="J72" s="67"/>
      <c r="K72" s="67"/>
    </row>
    <row r="73" ht="15.75" customHeight="1">
      <c r="G73" s="63"/>
      <c r="I73" s="66"/>
      <c r="J73" s="67"/>
      <c r="K73" s="67"/>
    </row>
    <row r="74" ht="15.75" customHeight="1">
      <c r="G74" s="63"/>
      <c r="I74" s="66"/>
      <c r="J74" s="67"/>
      <c r="K74" s="67"/>
    </row>
    <row r="75" ht="15.75" customHeight="1">
      <c r="G75" s="63"/>
      <c r="I75" s="66"/>
      <c r="J75" s="67"/>
      <c r="K75" s="67"/>
    </row>
    <row r="76" ht="15.75" customHeight="1">
      <c r="G76" s="63"/>
      <c r="I76" s="66"/>
      <c r="J76" s="67"/>
      <c r="K76" s="67"/>
    </row>
    <row r="77" ht="15.75" customHeight="1">
      <c r="G77" s="63"/>
      <c r="I77" s="66"/>
      <c r="J77" s="67"/>
      <c r="K77" s="67"/>
    </row>
    <row r="78" ht="15.75" customHeight="1">
      <c r="G78" s="63"/>
      <c r="I78" s="66"/>
      <c r="J78" s="67"/>
      <c r="K78" s="67"/>
    </row>
    <row r="79" ht="15.75" customHeight="1">
      <c r="G79" s="63"/>
      <c r="I79" s="66"/>
      <c r="J79" s="67"/>
      <c r="K79" s="67"/>
    </row>
    <row r="80" ht="15.75" customHeight="1">
      <c r="G80" s="63"/>
      <c r="I80" s="66"/>
      <c r="J80" s="67"/>
      <c r="K80" s="67"/>
    </row>
    <row r="81" ht="15.75" customHeight="1">
      <c r="G81" s="63"/>
      <c r="I81" s="66"/>
      <c r="J81" s="67"/>
      <c r="K81" s="67"/>
    </row>
    <row r="82" ht="15.75" customHeight="1">
      <c r="G82" s="63"/>
      <c r="I82" s="66"/>
      <c r="J82" s="67"/>
      <c r="K82" s="67"/>
    </row>
    <row r="83" ht="15.75" customHeight="1">
      <c r="G83" s="63"/>
      <c r="I83" s="66"/>
      <c r="J83" s="67"/>
      <c r="K83" s="67"/>
    </row>
    <row r="84" ht="15.75" customHeight="1">
      <c r="G84" s="63"/>
      <c r="I84" s="66"/>
      <c r="J84" s="67"/>
      <c r="K84" s="67"/>
    </row>
    <row r="85" ht="15.75" customHeight="1">
      <c r="G85" s="63"/>
      <c r="I85" s="66"/>
      <c r="J85" s="67"/>
      <c r="K85" s="67"/>
    </row>
    <row r="86" ht="15.75" customHeight="1">
      <c r="G86" s="63"/>
      <c r="I86" s="66"/>
      <c r="J86" s="67"/>
      <c r="K86" s="67"/>
    </row>
    <row r="87" ht="15.75" customHeight="1">
      <c r="G87" s="63"/>
      <c r="I87" s="66"/>
      <c r="J87" s="67"/>
      <c r="K87" s="67"/>
    </row>
    <row r="88" ht="15.75" customHeight="1">
      <c r="G88" s="63"/>
      <c r="I88" s="66"/>
      <c r="J88" s="67"/>
      <c r="K88" s="67"/>
    </row>
    <row r="89" ht="15.75" customHeight="1">
      <c r="G89" s="63"/>
      <c r="I89" s="66"/>
      <c r="J89" s="67"/>
      <c r="K89" s="67"/>
    </row>
    <row r="90" ht="15.75" customHeight="1">
      <c r="G90" s="63"/>
      <c r="I90" s="66"/>
      <c r="J90" s="67"/>
      <c r="K90" s="67"/>
    </row>
    <row r="91" ht="15.75" customHeight="1">
      <c r="G91" s="63"/>
      <c r="I91" s="66"/>
      <c r="J91" s="67"/>
      <c r="K91" s="67"/>
    </row>
    <row r="92" ht="15.75" customHeight="1">
      <c r="G92" s="63"/>
      <c r="I92" s="66"/>
      <c r="J92" s="67"/>
      <c r="K92" s="67"/>
    </row>
    <row r="93" ht="15.75" customHeight="1">
      <c r="G93" s="63"/>
      <c r="I93" s="66"/>
      <c r="J93" s="67"/>
      <c r="K93" s="67"/>
    </row>
    <row r="94" ht="15.75" customHeight="1">
      <c r="G94" s="63"/>
      <c r="I94" s="66"/>
      <c r="J94" s="67"/>
      <c r="K94" s="67"/>
    </row>
    <row r="95" ht="15.75" customHeight="1">
      <c r="G95" s="63"/>
      <c r="I95" s="66"/>
      <c r="J95" s="67"/>
      <c r="K95" s="67"/>
    </row>
    <row r="96" ht="15.75" customHeight="1">
      <c r="G96" s="63"/>
      <c r="I96" s="66"/>
      <c r="J96" s="67"/>
      <c r="K96" s="67"/>
    </row>
    <row r="97" ht="15.75" customHeight="1">
      <c r="G97" s="63"/>
      <c r="I97" s="66"/>
      <c r="J97" s="67"/>
      <c r="K97" s="67"/>
    </row>
    <row r="98" ht="15.75" customHeight="1">
      <c r="G98" s="63"/>
      <c r="I98" s="66"/>
      <c r="J98" s="67"/>
      <c r="K98" s="67"/>
    </row>
    <row r="99" ht="15.75" customHeight="1">
      <c r="G99" s="63"/>
      <c r="I99" s="66"/>
      <c r="J99" s="67"/>
      <c r="K99" s="67"/>
    </row>
    <row r="100" ht="15.75" customHeight="1">
      <c r="G100" s="63"/>
      <c r="I100" s="66"/>
      <c r="J100" s="67"/>
      <c r="K100" s="67"/>
    </row>
    <row r="101" ht="15.75" customHeight="1">
      <c r="G101" s="63"/>
      <c r="I101" s="66"/>
      <c r="J101" s="67"/>
      <c r="K101" s="67"/>
    </row>
    <row r="102" ht="15.75" customHeight="1">
      <c r="G102" s="63"/>
      <c r="I102" s="66"/>
      <c r="J102" s="67"/>
      <c r="K102" s="67"/>
    </row>
    <row r="103" ht="15.75" customHeight="1">
      <c r="G103" s="63"/>
      <c r="I103" s="66"/>
      <c r="J103" s="67"/>
      <c r="K103" s="67"/>
    </row>
    <row r="104" ht="15.75" customHeight="1">
      <c r="G104" s="63"/>
      <c r="I104" s="66"/>
      <c r="J104" s="67"/>
      <c r="K104" s="67"/>
    </row>
    <row r="105" ht="15.75" customHeight="1">
      <c r="G105" s="63"/>
      <c r="I105" s="66"/>
      <c r="J105" s="67"/>
      <c r="K105" s="67"/>
    </row>
    <row r="106" ht="15.75" customHeight="1">
      <c r="G106" s="63"/>
      <c r="I106" s="66"/>
      <c r="J106" s="67"/>
      <c r="K106" s="67"/>
    </row>
    <row r="107" ht="15.75" customHeight="1">
      <c r="G107" s="63"/>
      <c r="I107" s="66"/>
      <c r="J107" s="67"/>
      <c r="K107" s="67"/>
    </row>
    <row r="108" ht="15.75" customHeight="1">
      <c r="G108" s="63"/>
      <c r="I108" s="66"/>
      <c r="J108" s="67"/>
      <c r="K108" s="67"/>
    </row>
    <row r="109" ht="15.75" customHeight="1">
      <c r="G109" s="63"/>
      <c r="I109" s="66"/>
      <c r="J109" s="67"/>
      <c r="K109" s="67"/>
    </row>
    <row r="110" ht="15.75" customHeight="1">
      <c r="G110" s="63"/>
      <c r="I110" s="66"/>
      <c r="J110" s="67"/>
      <c r="K110" s="67"/>
    </row>
    <row r="111" ht="15.75" customHeight="1">
      <c r="G111" s="63"/>
      <c r="I111" s="66"/>
      <c r="J111" s="67"/>
      <c r="K111" s="67"/>
    </row>
    <row r="112" ht="15.75" customHeight="1">
      <c r="G112" s="63"/>
      <c r="I112" s="66"/>
      <c r="J112" s="67"/>
      <c r="K112" s="67"/>
    </row>
    <row r="113" ht="15.75" customHeight="1">
      <c r="G113" s="63"/>
      <c r="I113" s="66"/>
      <c r="J113" s="67"/>
      <c r="K113" s="67"/>
    </row>
    <row r="114" ht="15.75" customHeight="1">
      <c r="G114" s="63"/>
      <c r="I114" s="66"/>
      <c r="J114" s="67"/>
      <c r="K114" s="67"/>
    </row>
    <row r="115" ht="15.75" customHeight="1">
      <c r="G115" s="63"/>
      <c r="I115" s="66"/>
      <c r="J115" s="67"/>
      <c r="K115" s="67"/>
    </row>
    <row r="116" ht="15.75" customHeight="1">
      <c r="G116" s="63"/>
      <c r="I116" s="66"/>
      <c r="J116" s="67"/>
      <c r="K116" s="67"/>
    </row>
    <row r="117" ht="15.75" customHeight="1">
      <c r="G117" s="63"/>
      <c r="I117" s="66"/>
      <c r="J117" s="67"/>
      <c r="K117" s="67"/>
    </row>
    <row r="118" ht="15.75" customHeight="1">
      <c r="G118" s="63"/>
      <c r="I118" s="66"/>
      <c r="J118" s="67"/>
      <c r="K118" s="67"/>
    </row>
    <row r="119" ht="15.75" customHeight="1">
      <c r="G119" s="63"/>
      <c r="I119" s="66"/>
      <c r="J119" s="67"/>
      <c r="K119" s="67"/>
    </row>
    <row r="120" ht="15.75" customHeight="1">
      <c r="G120" s="63"/>
      <c r="I120" s="66"/>
      <c r="J120" s="67"/>
      <c r="K120" s="67"/>
    </row>
    <row r="121" ht="15.75" customHeight="1">
      <c r="G121" s="63"/>
      <c r="I121" s="66"/>
      <c r="J121" s="67"/>
      <c r="K121" s="67"/>
    </row>
    <row r="122" ht="15.75" customHeight="1">
      <c r="G122" s="63"/>
      <c r="I122" s="66"/>
      <c r="J122" s="67"/>
      <c r="K122" s="67"/>
    </row>
    <row r="123" ht="15.75" customHeight="1">
      <c r="G123" s="63"/>
      <c r="I123" s="66"/>
      <c r="J123" s="67"/>
      <c r="K123" s="67"/>
    </row>
    <row r="124" ht="15.75" customHeight="1">
      <c r="G124" s="63"/>
      <c r="I124" s="66"/>
      <c r="J124" s="67"/>
      <c r="K124" s="67"/>
    </row>
    <row r="125" ht="15.75" customHeight="1">
      <c r="G125" s="63"/>
      <c r="I125" s="66"/>
      <c r="J125" s="67"/>
      <c r="K125" s="67"/>
    </row>
    <row r="126" ht="15.75" customHeight="1">
      <c r="G126" s="63"/>
      <c r="I126" s="66"/>
      <c r="J126" s="67"/>
      <c r="K126" s="67"/>
    </row>
    <row r="127" ht="15.75" customHeight="1">
      <c r="G127" s="63"/>
      <c r="I127" s="66"/>
      <c r="J127" s="67"/>
      <c r="K127" s="67"/>
    </row>
    <row r="128" ht="15.75" customHeight="1">
      <c r="G128" s="63"/>
      <c r="I128" s="66"/>
      <c r="J128" s="67"/>
      <c r="K128" s="67"/>
    </row>
    <row r="129" ht="15.75" customHeight="1">
      <c r="G129" s="63"/>
      <c r="I129" s="66"/>
      <c r="J129" s="67"/>
      <c r="K129" s="67"/>
    </row>
    <row r="130" ht="15.75" customHeight="1">
      <c r="G130" s="63"/>
      <c r="I130" s="66"/>
      <c r="J130" s="67"/>
      <c r="K130" s="67"/>
    </row>
    <row r="131" ht="15.75" customHeight="1">
      <c r="G131" s="63"/>
      <c r="I131" s="66"/>
      <c r="J131" s="67"/>
      <c r="K131" s="67"/>
    </row>
    <row r="132" ht="15.75" customHeight="1">
      <c r="G132" s="63"/>
      <c r="I132" s="66"/>
      <c r="J132" s="67"/>
      <c r="K132" s="67"/>
    </row>
    <row r="133" ht="15.75" customHeight="1">
      <c r="G133" s="63"/>
      <c r="I133" s="66"/>
      <c r="J133" s="67"/>
      <c r="K133" s="67"/>
    </row>
    <row r="134" ht="15.75" customHeight="1">
      <c r="G134" s="63"/>
      <c r="I134" s="66"/>
      <c r="J134" s="67"/>
      <c r="K134" s="67"/>
    </row>
    <row r="135" ht="15.75" customHeight="1">
      <c r="G135" s="63"/>
      <c r="I135" s="66"/>
      <c r="J135" s="67"/>
      <c r="K135" s="67"/>
    </row>
    <row r="136" ht="15.75" customHeight="1">
      <c r="G136" s="63"/>
      <c r="I136" s="66"/>
      <c r="J136" s="67"/>
      <c r="K136" s="67"/>
    </row>
    <row r="137" ht="15.75" customHeight="1">
      <c r="G137" s="63"/>
      <c r="I137" s="66"/>
      <c r="J137" s="67"/>
      <c r="K137" s="67"/>
    </row>
    <row r="138" ht="15.75" customHeight="1">
      <c r="G138" s="63"/>
      <c r="I138" s="66"/>
      <c r="J138" s="67"/>
      <c r="K138" s="67"/>
    </row>
    <row r="139" ht="15.75" customHeight="1">
      <c r="G139" s="63"/>
      <c r="I139" s="66"/>
      <c r="J139" s="67"/>
      <c r="K139" s="67"/>
    </row>
    <row r="140" ht="15.75" customHeight="1">
      <c r="G140" s="63"/>
      <c r="I140" s="66"/>
      <c r="J140" s="67"/>
      <c r="K140" s="67"/>
    </row>
    <row r="141" ht="15.75" customHeight="1">
      <c r="G141" s="63"/>
      <c r="I141" s="66"/>
      <c r="J141" s="67"/>
      <c r="K141" s="67"/>
    </row>
    <row r="142" ht="15.75" customHeight="1">
      <c r="G142" s="63"/>
      <c r="I142" s="66"/>
      <c r="J142" s="67"/>
      <c r="K142" s="67"/>
    </row>
    <row r="143" ht="15.75" customHeight="1">
      <c r="G143" s="63"/>
      <c r="I143" s="66"/>
      <c r="J143" s="67"/>
      <c r="K143" s="67"/>
    </row>
    <row r="144" ht="15.75" customHeight="1">
      <c r="G144" s="63"/>
      <c r="I144" s="66"/>
      <c r="J144" s="67"/>
      <c r="K144" s="67"/>
    </row>
    <row r="145" ht="15.75" customHeight="1">
      <c r="G145" s="63"/>
      <c r="I145" s="66"/>
      <c r="J145" s="67"/>
      <c r="K145" s="67"/>
    </row>
    <row r="146" ht="15.75" customHeight="1">
      <c r="G146" s="63"/>
      <c r="I146" s="66"/>
      <c r="J146" s="67"/>
      <c r="K146" s="67"/>
    </row>
    <row r="147" ht="15.75" customHeight="1">
      <c r="G147" s="63"/>
      <c r="I147" s="66"/>
      <c r="J147" s="67"/>
      <c r="K147" s="67"/>
    </row>
    <row r="148" ht="15.75" customHeight="1">
      <c r="G148" s="63"/>
      <c r="I148" s="66"/>
      <c r="J148" s="67"/>
      <c r="K148" s="67"/>
    </row>
    <row r="149" ht="15.75" customHeight="1">
      <c r="G149" s="63"/>
      <c r="I149" s="66"/>
      <c r="J149" s="67"/>
      <c r="K149" s="67"/>
    </row>
    <row r="150" ht="15.75" customHeight="1">
      <c r="G150" s="63"/>
      <c r="I150" s="66"/>
      <c r="J150" s="67"/>
      <c r="K150" s="67"/>
    </row>
    <row r="151" ht="15.75" customHeight="1">
      <c r="G151" s="63"/>
      <c r="I151" s="66"/>
      <c r="J151" s="67"/>
      <c r="K151" s="67"/>
    </row>
    <row r="152" ht="15.75" customHeight="1">
      <c r="G152" s="63"/>
      <c r="I152" s="66"/>
      <c r="J152" s="67"/>
      <c r="K152" s="67"/>
    </row>
    <row r="153" ht="15.75" customHeight="1">
      <c r="G153" s="63"/>
      <c r="I153" s="66"/>
      <c r="J153" s="67"/>
      <c r="K153" s="67"/>
    </row>
    <row r="154" ht="15.75" customHeight="1">
      <c r="G154" s="63"/>
      <c r="I154" s="66"/>
      <c r="J154" s="67"/>
      <c r="K154" s="67"/>
    </row>
    <row r="155" ht="15.75" customHeight="1">
      <c r="G155" s="63"/>
      <c r="I155" s="66"/>
      <c r="J155" s="67"/>
      <c r="K155" s="67"/>
    </row>
    <row r="156" ht="15.75" customHeight="1">
      <c r="G156" s="63"/>
      <c r="I156" s="66"/>
      <c r="J156" s="67"/>
      <c r="K156" s="67"/>
    </row>
    <row r="157" ht="15.75" customHeight="1">
      <c r="G157" s="63"/>
      <c r="I157" s="66"/>
      <c r="J157" s="67"/>
      <c r="K157" s="67"/>
    </row>
    <row r="158" ht="15.75" customHeight="1">
      <c r="G158" s="63"/>
      <c r="I158" s="66"/>
      <c r="J158" s="67"/>
      <c r="K158" s="67"/>
    </row>
    <row r="159" ht="15.75" customHeight="1">
      <c r="G159" s="63"/>
      <c r="I159" s="66"/>
      <c r="J159" s="67"/>
      <c r="K159" s="67"/>
    </row>
    <row r="160" ht="15.75" customHeight="1">
      <c r="G160" s="63"/>
      <c r="I160" s="66"/>
      <c r="J160" s="67"/>
      <c r="K160" s="67"/>
    </row>
    <row r="161" ht="15.75" customHeight="1">
      <c r="G161" s="63"/>
      <c r="I161" s="66"/>
      <c r="J161" s="67"/>
      <c r="K161" s="67"/>
    </row>
    <row r="162" ht="15.75" customHeight="1">
      <c r="G162" s="63"/>
      <c r="I162" s="66"/>
      <c r="J162" s="67"/>
      <c r="K162" s="67"/>
    </row>
    <row r="163" ht="15.75" customHeight="1">
      <c r="G163" s="63"/>
      <c r="I163" s="66"/>
      <c r="J163" s="67"/>
      <c r="K163" s="67"/>
    </row>
    <row r="164" ht="15.75" customHeight="1">
      <c r="G164" s="63"/>
      <c r="I164" s="66"/>
      <c r="J164" s="67"/>
      <c r="K164" s="67"/>
    </row>
    <row r="165" ht="15.75" customHeight="1">
      <c r="G165" s="63"/>
      <c r="I165" s="66"/>
      <c r="J165" s="67"/>
      <c r="K165" s="67"/>
    </row>
    <row r="166" ht="15.75" customHeight="1">
      <c r="G166" s="63"/>
      <c r="I166" s="66"/>
      <c r="J166" s="67"/>
      <c r="K166" s="67"/>
    </row>
    <row r="167" ht="15.75" customHeight="1">
      <c r="G167" s="63"/>
      <c r="I167" s="66"/>
      <c r="J167" s="67"/>
      <c r="K167" s="67"/>
    </row>
    <row r="168" ht="15.75" customHeight="1">
      <c r="G168" s="63"/>
      <c r="I168" s="66"/>
      <c r="J168" s="67"/>
      <c r="K168" s="67"/>
    </row>
    <row r="169" ht="15.75" customHeight="1">
      <c r="G169" s="63"/>
      <c r="I169" s="66"/>
      <c r="J169" s="67"/>
      <c r="K169" s="67"/>
    </row>
    <row r="170" ht="15.75" customHeight="1">
      <c r="G170" s="63"/>
      <c r="I170" s="66"/>
      <c r="J170" s="67"/>
      <c r="K170" s="67"/>
    </row>
    <row r="171" ht="15.75" customHeight="1">
      <c r="G171" s="63"/>
      <c r="I171" s="66"/>
      <c r="J171" s="67"/>
      <c r="K171" s="67"/>
    </row>
    <row r="172" ht="15.75" customHeight="1">
      <c r="G172" s="63"/>
      <c r="I172" s="66"/>
      <c r="J172" s="67"/>
      <c r="K172" s="67"/>
    </row>
    <row r="173" ht="15.75" customHeight="1">
      <c r="G173" s="63"/>
      <c r="I173" s="66"/>
      <c r="J173" s="67"/>
      <c r="K173" s="67"/>
    </row>
    <row r="174" ht="15.75" customHeight="1">
      <c r="G174" s="63"/>
      <c r="I174" s="66"/>
      <c r="J174" s="67"/>
      <c r="K174" s="67"/>
    </row>
    <row r="175" ht="15.75" customHeight="1">
      <c r="G175" s="63"/>
      <c r="I175" s="66"/>
      <c r="J175" s="67"/>
      <c r="K175" s="67"/>
    </row>
    <row r="176" ht="15.75" customHeight="1">
      <c r="G176" s="63"/>
      <c r="I176" s="66"/>
      <c r="J176" s="67"/>
      <c r="K176" s="67"/>
    </row>
    <row r="177" ht="15.75" customHeight="1">
      <c r="G177" s="63"/>
      <c r="I177" s="66"/>
      <c r="J177" s="67"/>
      <c r="K177" s="67"/>
    </row>
    <row r="178" ht="15.75" customHeight="1">
      <c r="G178" s="63"/>
      <c r="I178" s="66"/>
      <c r="J178" s="67"/>
      <c r="K178" s="67"/>
    </row>
    <row r="179" ht="15.75" customHeight="1">
      <c r="G179" s="63"/>
      <c r="I179" s="66"/>
      <c r="J179" s="67"/>
      <c r="K179" s="67"/>
    </row>
    <row r="180" ht="15.75" customHeight="1">
      <c r="G180" s="63"/>
      <c r="I180" s="66"/>
      <c r="J180" s="67"/>
      <c r="K180" s="67"/>
    </row>
    <row r="181" ht="15.75" customHeight="1">
      <c r="G181" s="63"/>
      <c r="I181" s="66"/>
      <c r="J181" s="67"/>
      <c r="K181" s="67"/>
    </row>
    <row r="182" ht="15.75" customHeight="1">
      <c r="G182" s="63"/>
      <c r="I182" s="66"/>
      <c r="J182" s="67"/>
      <c r="K182" s="67"/>
    </row>
    <row r="183" ht="15.75" customHeight="1">
      <c r="G183" s="63"/>
      <c r="I183" s="66"/>
      <c r="J183" s="67"/>
      <c r="K183" s="67"/>
    </row>
    <row r="184" ht="15.75" customHeight="1">
      <c r="G184" s="63"/>
      <c r="I184" s="66"/>
      <c r="J184" s="67"/>
      <c r="K184" s="67"/>
    </row>
    <row r="185" ht="15.75" customHeight="1">
      <c r="G185" s="63"/>
      <c r="I185" s="66"/>
      <c r="J185" s="67"/>
      <c r="K185" s="67"/>
    </row>
    <row r="186" ht="15.75" customHeight="1">
      <c r="G186" s="63"/>
      <c r="I186" s="66"/>
      <c r="J186" s="67"/>
      <c r="K186" s="67"/>
    </row>
    <row r="187" ht="15.75" customHeight="1">
      <c r="G187" s="63"/>
      <c r="I187" s="66"/>
      <c r="J187" s="67"/>
      <c r="K187" s="67"/>
    </row>
    <row r="188" ht="15.75" customHeight="1">
      <c r="G188" s="63"/>
      <c r="I188" s="66"/>
      <c r="J188" s="67"/>
      <c r="K188" s="67"/>
    </row>
    <row r="189" ht="15.75" customHeight="1">
      <c r="G189" s="63"/>
      <c r="I189" s="66"/>
      <c r="J189" s="67"/>
      <c r="K189" s="67"/>
    </row>
    <row r="190" ht="15.75" customHeight="1">
      <c r="G190" s="63"/>
      <c r="I190" s="66"/>
      <c r="J190" s="67"/>
      <c r="K190" s="67"/>
    </row>
    <row r="191" ht="15.75" customHeight="1">
      <c r="G191" s="63"/>
      <c r="I191" s="66"/>
      <c r="J191" s="67"/>
      <c r="K191" s="67"/>
    </row>
    <row r="192" ht="15.75" customHeight="1">
      <c r="G192" s="63"/>
      <c r="I192" s="66"/>
      <c r="J192" s="67"/>
      <c r="K192" s="67"/>
    </row>
    <row r="193" ht="15.75" customHeight="1">
      <c r="G193" s="63"/>
      <c r="I193" s="66"/>
      <c r="J193" s="67"/>
      <c r="K193" s="67"/>
    </row>
    <row r="194" ht="15.75" customHeight="1">
      <c r="G194" s="63"/>
      <c r="I194" s="66"/>
      <c r="J194" s="67"/>
      <c r="K194" s="67"/>
    </row>
    <row r="195" ht="15.75" customHeight="1">
      <c r="G195" s="63"/>
      <c r="I195" s="66"/>
      <c r="J195" s="67"/>
      <c r="K195" s="67"/>
    </row>
    <row r="196" ht="15.75" customHeight="1">
      <c r="G196" s="63"/>
      <c r="I196" s="66"/>
      <c r="J196" s="67"/>
      <c r="K196" s="67"/>
    </row>
    <row r="197" ht="15.75" customHeight="1">
      <c r="G197" s="63"/>
      <c r="I197" s="66"/>
      <c r="J197" s="67"/>
      <c r="K197" s="67"/>
    </row>
    <row r="198" ht="15.75" customHeight="1">
      <c r="G198" s="63"/>
      <c r="I198" s="66"/>
      <c r="J198" s="67"/>
      <c r="K198" s="67"/>
    </row>
    <row r="199" ht="15.75" customHeight="1">
      <c r="G199" s="63"/>
      <c r="I199" s="66"/>
      <c r="J199" s="67"/>
      <c r="K199" s="67"/>
    </row>
    <row r="200" ht="15.75" customHeight="1">
      <c r="G200" s="63"/>
      <c r="I200" s="66"/>
      <c r="J200" s="67"/>
      <c r="K200" s="67"/>
    </row>
    <row r="201" ht="15.75" customHeight="1">
      <c r="G201" s="63"/>
      <c r="I201" s="66"/>
      <c r="J201" s="67"/>
      <c r="K201" s="67"/>
    </row>
    <row r="202" ht="15.75" customHeight="1">
      <c r="G202" s="63"/>
      <c r="I202" s="66"/>
      <c r="J202" s="67"/>
      <c r="K202" s="67"/>
    </row>
    <row r="203" ht="15.75" customHeight="1">
      <c r="G203" s="63"/>
      <c r="I203" s="66"/>
      <c r="J203" s="67"/>
      <c r="K203" s="67"/>
    </row>
    <row r="204" ht="15.75" customHeight="1">
      <c r="G204" s="63"/>
      <c r="I204" s="66"/>
      <c r="J204" s="67"/>
      <c r="K204" s="67"/>
    </row>
    <row r="205" ht="15.75" customHeight="1">
      <c r="G205" s="63"/>
      <c r="I205" s="66"/>
      <c r="J205" s="67"/>
      <c r="K205" s="67"/>
    </row>
    <row r="206" ht="15.75" customHeight="1">
      <c r="G206" s="63"/>
      <c r="I206" s="66"/>
      <c r="J206" s="67"/>
      <c r="K206" s="67"/>
    </row>
    <row r="207" ht="15.75" customHeight="1">
      <c r="G207" s="63"/>
      <c r="I207" s="66"/>
      <c r="J207" s="67"/>
      <c r="K207" s="67"/>
    </row>
    <row r="208" ht="15.75" customHeight="1">
      <c r="G208" s="63"/>
      <c r="I208" s="66"/>
      <c r="J208" s="67"/>
      <c r="K208" s="67"/>
    </row>
    <row r="209" ht="15.75" customHeight="1">
      <c r="G209" s="63"/>
      <c r="I209" s="66"/>
      <c r="J209" s="67"/>
      <c r="K209" s="67"/>
    </row>
    <row r="210" ht="15.75" customHeight="1">
      <c r="G210" s="63"/>
      <c r="I210" s="66"/>
      <c r="J210" s="67"/>
      <c r="K210" s="67"/>
    </row>
    <row r="211" ht="15.75" customHeight="1">
      <c r="G211" s="63"/>
      <c r="I211" s="66"/>
      <c r="J211" s="67"/>
      <c r="K211" s="67"/>
    </row>
    <row r="212" ht="15.75" customHeight="1">
      <c r="G212" s="63"/>
      <c r="I212" s="66"/>
      <c r="J212" s="67"/>
      <c r="K212" s="67"/>
    </row>
    <row r="213" ht="15.75" customHeight="1">
      <c r="G213" s="63"/>
      <c r="I213" s="66"/>
      <c r="J213" s="67"/>
      <c r="K213" s="67"/>
    </row>
    <row r="214" ht="15.75" customHeight="1">
      <c r="G214" s="63"/>
      <c r="I214" s="66"/>
      <c r="J214" s="67"/>
      <c r="K214" s="67"/>
    </row>
    <row r="215" ht="15.75" customHeight="1">
      <c r="G215" s="63"/>
      <c r="I215" s="66"/>
      <c r="J215" s="67"/>
      <c r="K215" s="67"/>
    </row>
    <row r="216" ht="15.75" customHeight="1">
      <c r="G216" s="63"/>
      <c r="I216" s="66"/>
      <c r="J216" s="67"/>
      <c r="K216" s="67"/>
    </row>
    <row r="217" ht="15.75" customHeight="1">
      <c r="G217" s="63"/>
      <c r="I217" s="66"/>
      <c r="J217" s="67"/>
      <c r="K217" s="67"/>
    </row>
    <row r="218" ht="15.75" customHeight="1">
      <c r="G218" s="63"/>
      <c r="I218" s="66"/>
      <c r="J218" s="67"/>
      <c r="K218" s="67"/>
    </row>
    <row r="219" ht="15.75" customHeight="1">
      <c r="G219" s="63"/>
      <c r="I219" s="66"/>
      <c r="J219" s="67"/>
      <c r="K219" s="67"/>
    </row>
    <row r="220" ht="15.75" customHeight="1">
      <c r="G220" s="63"/>
      <c r="I220" s="66"/>
      <c r="J220" s="67"/>
      <c r="K220" s="67"/>
    </row>
    <row r="221" ht="15.75" customHeight="1">
      <c r="G221" s="63"/>
      <c r="I221" s="66"/>
      <c r="J221" s="67"/>
      <c r="K221" s="67"/>
    </row>
    <row r="222" ht="15.75" customHeight="1">
      <c r="G222" s="63"/>
      <c r="I222" s="66"/>
      <c r="J222" s="67"/>
      <c r="K222" s="67"/>
    </row>
    <row r="223" ht="15.75" customHeight="1">
      <c r="G223" s="63"/>
      <c r="I223" s="66"/>
      <c r="J223" s="67"/>
      <c r="K223" s="67"/>
    </row>
    <row r="224" ht="15.75" customHeight="1">
      <c r="G224" s="63"/>
      <c r="I224" s="66"/>
      <c r="J224" s="67"/>
      <c r="K224" s="67"/>
    </row>
    <row r="225" ht="15.75" customHeight="1">
      <c r="G225" s="63"/>
      <c r="I225" s="66"/>
      <c r="J225" s="67"/>
      <c r="K225" s="67"/>
    </row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N2:N21">
    <cfRule type="cellIs" dxfId="0" priority="1" operator="greaterThan">
      <formula>0</formula>
    </cfRule>
  </conditionalFormatting>
  <conditionalFormatting sqref="N2:N21">
    <cfRule type="cellIs" dxfId="1" priority="2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9.88"/>
    <col customWidth="1" min="3" max="5" width="12.13"/>
    <col customWidth="1" min="6" max="6" width="4.25"/>
    <col customWidth="1" min="7" max="7" width="19.13"/>
    <col customWidth="1" min="8" max="10" width="12.0"/>
  </cols>
  <sheetData>
    <row r="1" ht="15.75" customHeight="1">
      <c r="A1" s="68"/>
      <c r="B1" s="69" t="s">
        <v>61</v>
      </c>
      <c r="G1" s="69" t="s">
        <v>62</v>
      </c>
    </row>
    <row r="2" ht="15.75" customHeight="1">
      <c r="A2" s="68"/>
      <c r="B2" s="70" t="s">
        <v>44</v>
      </c>
      <c r="C2" s="71" t="s">
        <v>1</v>
      </c>
      <c r="D2" s="71" t="s">
        <v>46</v>
      </c>
      <c r="E2" s="71" t="s">
        <v>63</v>
      </c>
      <c r="G2" s="70" t="s">
        <v>44</v>
      </c>
      <c r="H2" s="71" t="s">
        <v>1</v>
      </c>
      <c r="I2" s="71" t="s">
        <v>46</v>
      </c>
      <c r="J2" s="71" t="s">
        <v>63</v>
      </c>
    </row>
    <row r="3" ht="15.75" customHeight="1">
      <c r="A3" s="68"/>
      <c r="B3" s="72" t="s">
        <v>64</v>
      </c>
      <c r="C3" s="73">
        <v>14000.0</v>
      </c>
      <c r="D3" s="74">
        <v>1.0</v>
      </c>
      <c r="E3" s="73">
        <f t="shared" ref="E3:E14" si="1">C3*D3</f>
        <v>14000</v>
      </c>
      <c r="G3" s="72" t="s">
        <v>65</v>
      </c>
      <c r="H3" s="73">
        <v>22000.0</v>
      </c>
      <c r="I3" s="74">
        <v>12.0</v>
      </c>
      <c r="J3" s="73">
        <f>I3*H3</f>
        <v>264000</v>
      </c>
    </row>
    <row r="4" ht="15.75" customHeight="1">
      <c r="A4" s="68"/>
      <c r="B4" s="72" t="s">
        <v>7</v>
      </c>
      <c r="C4" s="73">
        <v>7000.0</v>
      </c>
      <c r="D4" s="74">
        <v>7.0</v>
      </c>
      <c r="E4" s="73">
        <f t="shared" si="1"/>
        <v>49000</v>
      </c>
      <c r="G4" s="75" t="s">
        <v>66</v>
      </c>
      <c r="H4" s="76">
        <v>264000.0</v>
      </c>
      <c r="I4" s="77" t="s">
        <v>67</v>
      </c>
      <c r="J4" s="76">
        <f>J3</f>
        <v>264000</v>
      </c>
    </row>
    <row r="5" ht="15.75" customHeight="1">
      <c r="A5" s="68"/>
      <c r="B5" s="72" t="s">
        <v>8</v>
      </c>
      <c r="C5" s="73">
        <v>3000.0</v>
      </c>
      <c r="D5" s="74">
        <v>10.0</v>
      </c>
      <c r="E5" s="73">
        <f t="shared" si="1"/>
        <v>30000</v>
      </c>
    </row>
    <row r="6" ht="15.75" customHeight="1">
      <c r="A6" s="68"/>
      <c r="B6" s="72" t="s">
        <v>9</v>
      </c>
      <c r="C6" s="73">
        <v>6000.0</v>
      </c>
      <c r="D6" s="74">
        <v>5.0</v>
      </c>
      <c r="E6" s="73">
        <f t="shared" si="1"/>
        <v>30000</v>
      </c>
    </row>
    <row r="7" ht="15.75" customHeight="1">
      <c r="A7" s="68"/>
      <c r="B7" s="72" t="s">
        <v>55</v>
      </c>
      <c r="C7" s="73">
        <v>7000.0</v>
      </c>
      <c r="D7" s="74">
        <v>8.0</v>
      </c>
      <c r="E7" s="73">
        <f t="shared" si="1"/>
        <v>56000</v>
      </c>
    </row>
    <row r="8" ht="15.75" customHeight="1">
      <c r="A8" s="68"/>
      <c r="B8" s="72" t="s">
        <v>11</v>
      </c>
      <c r="C8" s="73">
        <v>5000.0</v>
      </c>
      <c r="D8" s="74">
        <v>8.0</v>
      </c>
      <c r="E8" s="73">
        <f t="shared" si="1"/>
        <v>40000</v>
      </c>
    </row>
    <row r="9" ht="15.75" customHeight="1">
      <c r="A9" s="68"/>
      <c r="B9" s="72" t="s">
        <v>12</v>
      </c>
      <c r="C9" s="73">
        <v>8000.0</v>
      </c>
      <c r="D9" s="74">
        <v>3.0</v>
      </c>
      <c r="E9" s="73">
        <f t="shared" si="1"/>
        <v>24000</v>
      </c>
    </row>
    <row r="10" ht="15.75" customHeight="1">
      <c r="A10" s="68"/>
      <c r="B10" s="72" t="s">
        <v>13</v>
      </c>
      <c r="C10" s="73">
        <v>6000.0</v>
      </c>
      <c r="D10" s="74">
        <v>1.0</v>
      </c>
      <c r="E10" s="73">
        <f t="shared" si="1"/>
        <v>6000</v>
      </c>
    </row>
    <row r="11" ht="15.75" customHeight="1">
      <c r="A11" s="68"/>
      <c r="B11" s="72" t="s">
        <v>68</v>
      </c>
      <c r="C11" s="73">
        <v>10000.0</v>
      </c>
      <c r="D11" s="74">
        <v>2.0</v>
      </c>
      <c r="E11" s="73">
        <f t="shared" si="1"/>
        <v>20000</v>
      </c>
    </row>
    <row r="12" ht="15.75" customHeight="1">
      <c r="A12" s="68"/>
      <c r="B12" s="72" t="s">
        <v>69</v>
      </c>
      <c r="C12" s="73">
        <v>1500.0</v>
      </c>
      <c r="D12" s="74">
        <v>7.0</v>
      </c>
      <c r="E12" s="73">
        <f t="shared" si="1"/>
        <v>10500</v>
      </c>
    </row>
    <row r="13" ht="15.75" customHeight="1">
      <c r="A13" s="68"/>
      <c r="B13" s="72" t="s">
        <v>70</v>
      </c>
      <c r="C13" s="73">
        <v>600.0</v>
      </c>
      <c r="D13" s="74">
        <v>11.0</v>
      </c>
      <c r="E13" s="73">
        <f t="shared" si="1"/>
        <v>6600</v>
      </c>
    </row>
    <row r="14" ht="15.75" customHeight="1">
      <c r="A14" s="68"/>
      <c r="B14" s="72" t="s">
        <v>71</v>
      </c>
      <c r="C14" s="73">
        <v>1000.0</v>
      </c>
      <c r="D14" s="74">
        <v>12.0</v>
      </c>
      <c r="E14" s="73">
        <f t="shared" si="1"/>
        <v>12000</v>
      </c>
    </row>
    <row r="15" ht="15.75" customHeight="1">
      <c r="A15" s="78"/>
      <c r="B15" s="75" t="s">
        <v>72</v>
      </c>
      <c r="C15" s="76">
        <v>298100.0</v>
      </c>
      <c r="D15" s="77" t="s">
        <v>67</v>
      </c>
      <c r="E15" s="76">
        <f>SUM(E2:E14)</f>
        <v>298100</v>
      </c>
    </row>
    <row r="16" ht="15.75" customHeight="1"/>
    <row r="17" ht="15.75" customHeight="1">
      <c r="B17" s="69" t="s">
        <v>73</v>
      </c>
    </row>
    <row r="18" ht="15.75" customHeight="1">
      <c r="B18" s="70" t="s">
        <v>44</v>
      </c>
      <c r="C18" s="71" t="s">
        <v>1</v>
      </c>
      <c r="D18" s="71" t="s">
        <v>46</v>
      </c>
      <c r="E18" s="71" t="s">
        <v>63</v>
      </c>
    </row>
    <row r="19" ht="15.75" customHeight="1">
      <c r="B19" s="72" t="s">
        <v>7</v>
      </c>
      <c r="C19" s="73">
        <v>7000.0</v>
      </c>
      <c r="D19" s="74">
        <v>4.0</v>
      </c>
      <c r="E19" s="73">
        <f t="shared" ref="E19:E29" si="2">C19*D19</f>
        <v>28000</v>
      </c>
    </row>
    <row r="20" ht="15.75" customHeight="1">
      <c r="B20" s="72" t="s">
        <v>17</v>
      </c>
      <c r="C20" s="73">
        <v>1500.0</v>
      </c>
      <c r="D20" s="74">
        <v>3.0</v>
      </c>
      <c r="E20" s="73">
        <f t="shared" si="2"/>
        <v>4500</v>
      </c>
    </row>
    <row r="21" ht="15.75" customHeight="1">
      <c r="B21" s="72" t="s">
        <v>18</v>
      </c>
      <c r="C21" s="73">
        <v>600.0</v>
      </c>
      <c r="D21" s="74">
        <v>5.0</v>
      </c>
      <c r="E21" s="73">
        <f t="shared" si="2"/>
        <v>3000</v>
      </c>
    </row>
    <row r="22" ht="15.75" customHeight="1">
      <c r="B22" s="72" t="s">
        <v>19</v>
      </c>
      <c r="C22" s="73">
        <v>1000.0</v>
      </c>
      <c r="D22" s="74">
        <v>2.0</v>
      </c>
      <c r="E22" s="73">
        <f t="shared" si="2"/>
        <v>2000</v>
      </c>
    </row>
    <row r="23" ht="15.75" customHeight="1">
      <c r="B23" s="72" t="s">
        <v>23</v>
      </c>
      <c r="C23" s="73">
        <v>6000.0</v>
      </c>
      <c r="D23" s="74">
        <v>1.0</v>
      </c>
      <c r="E23" s="73">
        <f t="shared" si="2"/>
        <v>6000</v>
      </c>
    </row>
    <row r="24" ht="15.75" customHeight="1">
      <c r="B24" s="72" t="s">
        <v>24</v>
      </c>
      <c r="C24" s="73">
        <v>9500.0</v>
      </c>
      <c r="D24" s="74">
        <v>2.0</v>
      </c>
      <c r="E24" s="73">
        <f t="shared" si="2"/>
        <v>19000</v>
      </c>
    </row>
    <row r="25" ht="15.75" customHeight="1">
      <c r="B25" s="72" t="s">
        <v>25</v>
      </c>
      <c r="C25" s="73">
        <v>14000.0</v>
      </c>
      <c r="D25" s="74">
        <v>2.0</v>
      </c>
      <c r="E25" s="73">
        <f t="shared" si="2"/>
        <v>28000</v>
      </c>
    </row>
    <row r="26" ht="15.75" customHeight="1">
      <c r="B26" s="72" t="s">
        <v>26</v>
      </c>
      <c r="C26" s="73">
        <v>10000.0</v>
      </c>
      <c r="D26" s="74">
        <v>3.0</v>
      </c>
      <c r="E26" s="73">
        <f t="shared" si="2"/>
        <v>30000</v>
      </c>
    </row>
    <row r="27" ht="15.75" customHeight="1">
      <c r="B27" s="72" t="s">
        <v>74</v>
      </c>
      <c r="C27" s="73">
        <v>21000.0</v>
      </c>
      <c r="D27" s="74">
        <v>1.0</v>
      </c>
      <c r="E27" s="73">
        <f t="shared" si="2"/>
        <v>21000</v>
      </c>
    </row>
    <row r="28" ht="15.75" customHeight="1">
      <c r="B28" s="72" t="s">
        <v>8</v>
      </c>
      <c r="C28" s="73">
        <v>3000.0</v>
      </c>
      <c r="D28" s="74">
        <v>1.0</v>
      </c>
      <c r="E28" s="73">
        <f t="shared" si="2"/>
        <v>3000</v>
      </c>
    </row>
    <row r="29" ht="15.75" customHeight="1">
      <c r="B29" s="72" t="s">
        <v>13</v>
      </c>
      <c r="C29" s="73">
        <v>6000.0</v>
      </c>
      <c r="D29" s="74">
        <v>1.0</v>
      </c>
      <c r="E29" s="73">
        <f t="shared" si="2"/>
        <v>6000</v>
      </c>
    </row>
    <row r="30" ht="15.75" customHeight="1">
      <c r="B30" s="75" t="s">
        <v>75</v>
      </c>
      <c r="C30" s="76">
        <v>150500.0</v>
      </c>
      <c r="D30" s="77" t="s">
        <v>67</v>
      </c>
      <c r="E30" s="76">
        <f>SUM(E19:E29)</f>
        <v>150500</v>
      </c>
    </row>
    <row r="31" ht="15.75" customHeight="1"/>
    <row r="32" ht="15.75" customHeight="1">
      <c r="B32" s="69" t="s">
        <v>76</v>
      </c>
    </row>
    <row r="33" ht="15.75" customHeight="1">
      <c r="B33" s="70" t="s">
        <v>44</v>
      </c>
      <c r="C33" s="71" t="s">
        <v>1</v>
      </c>
      <c r="D33" s="71" t="s">
        <v>46</v>
      </c>
      <c r="E33" s="71" t="s">
        <v>63</v>
      </c>
    </row>
    <row r="34" ht="15.75" customHeight="1">
      <c r="B34" s="72" t="s">
        <v>6</v>
      </c>
      <c r="C34" s="73">
        <v>14000.0</v>
      </c>
      <c r="D34" s="74">
        <v>1.0</v>
      </c>
      <c r="E34" s="73">
        <f t="shared" ref="E34:E50" si="3">C34*D34</f>
        <v>14000</v>
      </c>
    </row>
    <row r="35" ht="15.75" customHeight="1">
      <c r="B35" s="72" t="s">
        <v>7</v>
      </c>
      <c r="C35" s="73">
        <v>7000.0</v>
      </c>
      <c r="D35" s="74">
        <v>7.0</v>
      </c>
      <c r="E35" s="73">
        <f t="shared" si="3"/>
        <v>49000</v>
      </c>
    </row>
    <row r="36" ht="15.75" customHeight="1">
      <c r="B36" s="72" t="s">
        <v>8</v>
      </c>
      <c r="C36" s="73">
        <v>3000.0</v>
      </c>
      <c r="D36" s="74">
        <v>9.0</v>
      </c>
      <c r="E36" s="73">
        <f t="shared" si="3"/>
        <v>27000</v>
      </c>
    </row>
    <row r="37" ht="15.75" customHeight="1">
      <c r="B37" s="72" t="s">
        <v>9</v>
      </c>
      <c r="C37" s="73">
        <v>6000.0</v>
      </c>
      <c r="D37" s="74">
        <v>11.0</v>
      </c>
      <c r="E37" s="73">
        <f t="shared" si="3"/>
        <v>66000</v>
      </c>
    </row>
    <row r="38" ht="15.75" customHeight="1">
      <c r="B38" s="72" t="s">
        <v>10</v>
      </c>
      <c r="C38" s="73">
        <v>7000.0</v>
      </c>
      <c r="D38" s="74">
        <v>1.0</v>
      </c>
      <c r="E38" s="73">
        <f t="shared" si="3"/>
        <v>7000</v>
      </c>
    </row>
    <row r="39" ht="15.75" customHeight="1">
      <c r="B39" s="72" t="s">
        <v>11</v>
      </c>
      <c r="C39" s="73">
        <v>5000.0</v>
      </c>
      <c r="D39" s="74">
        <v>8.0</v>
      </c>
      <c r="E39" s="73">
        <f t="shared" si="3"/>
        <v>40000</v>
      </c>
    </row>
    <row r="40" ht="15.75" customHeight="1">
      <c r="B40" s="72" t="s">
        <v>13</v>
      </c>
      <c r="C40" s="73">
        <v>6000.0</v>
      </c>
      <c r="D40" s="74">
        <v>3.0</v>
      </c>
      <c r="E40" s="73">
        <f t="shared" si="3"/>
        <v>18000</v>
      </c>
    </row>
    <row r="41" ht="15.75" customHeight="1">
      <c r="B41" s="72" t="s">
        <v>15</v>
      </c>
      <c r="C41" s="73">
        <v>1500.0</v>
      </c>
      <c r="D41" s="74">
        <v>2.0</v>
      </c>
      <c r="E41" s="73">
        <f t="shared" si="3"/>
        <v>3000</v>
      </c>
    </row>
    <row r="42" ht="15.75" customHeight="1">
      <c r="B42" s="72" t="s">
        <v>16</v>
      </c>
      <c r="C42" s="73">
        <v>1500.0</v>
      </c>
      <c r="D42" s="74">
        <v>1.0</v>
      </c>
      <c r="E42" s="73">
        <f t="shared" si="3"/>
        <v>1500</v>
      </c>
    </row>
    <row r="43" ht="15.75" customHeight="1">
      <c r="B43" s="72" t="s">
        <v>18</v>
      </c>
      <c r="C43" s="73">
        <v>600.0</v>
      </c>
      <c r="D43" s="74">
        <v>2.0</v>
      </c>
      <c r="E43" s="73">
        <f t="shared" si="3"/>
        <v>1200</v>
      </c>
    </row>
    <row r="44" ht="15.75" customHeight="1">
      <c r="B44" s="72" t="s">
        <v>19</v>
      </c>
      <c r="C44" s="73">
        <v>1000.0</v>
      </c>
      <c r="D44" s="74">
        <v>2.0</v>
      </c>
      <c r="E44" s="73">
        <f t="shared" si="3"/>
        <v>2000</v>
      </c>
    </row>
    <row r="45" ht="15.75" customHeight="1">
      <c r="B45" s="72" t="s">
        <v>23</v>
      </c>
      <c r="C45" s="73">
        <v>6000.0</v>
      </c>
      <c r="D45" s="74">
        <v>3.0</v>
      </c>
      <c r="E45" s="73">
        <f t="shared" si="3"/>
        <v>18000</v>
      </c>
    </row>
    <row r="46" ht="15.75" customHeight="1">
      <c r="B46" s="72" t="s">
        <v>24</v>
      </c>
      <c r="C46" s="73">
        <v>9500.0</v>
      </c>
      <c r="D46" s="74">
        <v>2.0</v>
      </c>
      <c r="E46" s="73">
        <f t="shared" si="3"/>
        <v>19000</v>
      </c>
    </row>
    <row r="47" ht="15.75" customHeight="1">
      <c r="B47" s="72" t="s">
        <v>25</v>
      </c>
      <c r="C47" s="73">
        <v>14000.0</v>
      </c>
      <c r="D47" s="74">
        <v>2.0</v>
      </c>
      <c r="E47" s="73">
        <f t="shared" si="3"/>
        <v>28000</v>
      </c>
    </row>
    <row r="48" ht="15.75" customHeight="1">
      <c r="B48" s="72" t="s">
        <v>26</v>
      </c>
      <c r="C48" s="73">
        <v>10000.0</v>
      </c>
      <c r="D48" s="74">
        <v>5.0</v>
      </c>
      <c r="E48" s="73">
        <f t="shared" si="3"/>
        <v>50000</v>
      </c>
    </row>
    <row r="49" ht="15.75" customHeight="1">
      <c r="B49" s="72" t="s">
        <v>40</v>
      </c>
      <c r="C49" s="73">
        <v>15000.0</v>
      </c>
      <c r="D49" s="74">
        <v>2.0</v>
      </c>
      <c r="E49" s="73">
        <f t="shared" si="3"/>
        <v>30000</v>
      </c>
    </row>
    <row r="50" ht="15.75" customHeight="1">
      <c r="B50" s="72" t="s">
        <v>29</v>
      </c>
      <c r="C50" s="73">
        <v>21000.0</v>
      </c>
      <c r="D50" s="74">
        <v>3.0</v>
      </c>
      <c r="E50" s="73">
        <f t="shared" si="3"/>
        <v>63000</v>
      </c>
    </row>
    <row r="51" ht="15.75" customHeight="1">
      <c r="B51" s="75" t="s">
        <v>77</v>
      </c>
      <c r="C51" s="76">
        <v>436700.0</v>
      </c>
      <c r="D51" s="77" t="s">
        <v>67</v>
      </c>
      <c r="E51" s="76">
        <f>SUM(E34:E50)</f>
        <v>436700</v>
      </c>
    </row>
    <row r="52" ht="15.75" customHeight="1"/>
    <row r="53" ht="15.75" customHeight="1">
      <c r="B53" s="69" t="s">
        <v>78</v>
      </c>
    </row>
    <row r="54" ht="15.75" customHeight="1">
      <c r="B54" s="70" t="s">
        <v>44</v>
      </c>
      <c r="C54" s="71" t="s">
        <v>1</v>
      </c>
      <c r="D54" s="71" t="s">
        <v>46</v>
      </c>
      <c r="E54" s="71" t="s">
        <v>63</v>
      </c>
    </row>
    <row r="55" ht="15.75" customHeight="1">
      <c r="B55" s="72" t="s">
        <v>6</v>
      </c>
      <c r="C55" s="73">
        <v>14000.0</v>
      </c>
      <c r="D55" s="74">
        <v>1.0</v>
      </c>
      <c r="E55" s="73">
        <f t="shared" ref="E55:E70" si="4">C55*D55</f>
        <v>14000</v>
      </c>
      <c r="G55" s="79"/>
    </row>
    <row r="56" ht="15.75" customHeight="1">
      <c r="B56" s="72" t="s">
        <v>7</v>
      </c>
      <c r="C56" s="73">
        <v>7000.0</v>
      </c>
      <c r="D56" s="74">
        <v>17.0</v>
      </c>
      <c r="E56" s="73">
        <f t="shared" si="4"/>
        <v>119000</v>
      </c>
      <c r="G56" s="79"/>
    </row>
    <row r="57" ht="15.75" customHeight="1">
      <c r="B57" s="72" t="s">
        <v>8</v>
      </c>
      <c r="C57" s="73">
        <v>3000.0</v>
      </c>
      <c r="D57" s="74">
        <v>4.0</v>
      </c>
      <c r="E57" s="73">
        <f t="shared" si="4"/>
        <v>12000</v>
      </c>
      <c r="G57" s="79"/>
    </row>
    <row r="58" ht="15.75" customHeight="1">
      <c r="B58" s="72" t="s">
        <v>9</v>
      </c>
      <c r="C58" s="73">
        <v>6000.0</v>
      </c>
      <c r="D58" s="74">
        <v>4.0</v>
      </c>
      <c r="E58" s="73">
        <f t="shared" si="4"/>
        <v>24000</v>
      </c>
      <c r="G58" s="79"/>
    </row>
    <row r="59" ht="15.75" customHeight="1">
      <c r="B59" s="72" t="s">
        <v>11</v>
      </c>
      <c r="C59" s="73">
        <v>5000.0</v>
      </c>
      <c r="D59" s="74">
        <v>3.0</v>
      </c>
      <c r="E59" s="73">
        <f t="shared" si="4"/>
        <v>15000</v>
      </c>
      <c r="G59" s="79"/>
    </row>
    <row r="60" ht="15.75" customHeight="1">
      <c r="B60" s="72" t="s">
        <v>12</v>
      </c>
      <c r="C60" s="73">
        <v>8000.0</v>
      </c>
      <c r="D60" s="74">
        <v>1.0</v>
      </c>
      <c r="E60" s="73">
        <f t="shared" si="4"/>
        <v>8000</v>
      </c>
      <c r="G60" s="79"/>
    </row>
    <row r="61" ht="15.75" customHeight="1">
      <c r="B61" s="72" t="s">
        <v>13</v>
      </c>
      <c r="C61" s="73">
        <v>6000.0</v>
      </c>
      <c r="D61" s="74">
        <v>9.0</v>
      </c>
      <c r="E61" s="73">
        <f t="shared" si="4"/>
        <v>54000</v>
      </c>
      <c r="G61" s="79"/>
    </row>
    <row r="62" ht="15.75" customHeight="1">
      <c r="B62" s="72" t="s">
        <v>15</v>
      </c>
      <c r="C62" s="73">
        <v>1500.0</v>
      </c>
      <c r="D62" s="74">
        <v>5.0</v>
      </c>
      <c r="E62" s="73">
        <f t="shared" si="4"/>
        <v>7500</v>
      </c>
      <c r="G62" s="79"/>
    </row>
    <row r="63" ht="15.75" customHeight="1">
      <c r="B63" s="72" t="s">
        <v>18</v>
      </c>
      <c r="C63" s="73">
        <v>600.0</v>
      </c>
      <c r="D63" s="74">
        <v>4.0</v>
      </c>
      <c r="E63" s="73">
        <f t="shared" si="4"/>
        <v>2400</v>
      </c>
      <c r="G63" s="79"/>
    </row>
    <row r="64" ht="15.75" customHeight="1">
      <c r="B64" s="72" t="s">
        <v>19</v>
      </c>
      <c r="C64" s="73">
        <v>1000.0</v>
      </c>
      <c r="D64" s="74">
        <v>1.0</v>
      </c>
      <c r="E64" s="73">
        <f t="shared" si="4"/>
        <v>1000</v>
      </c>
      <c r="G64" s="79"/>
    </row>
    <row r="65" ht="15.75" customHeight="1">
      <c r="B65" s="72" t="s">
        <v>22</v>
      </c>
      <c r="C65" s="73">
        <v>15000.0</v>
      </c>
      <c r="D65" s="74">
        <v>1.0</v>
      </c>
      <c r="E65" s="73">
        <f t="shared" si="4"/>
        <v>15000</v>
      </c>
      <c r="G65" s="79"/>
    </row>
    <row r="66" ht="15.75" customHeight="1">
      <c r="B66" s="72" t="s">
        <v>23</v>
      </c>
      <c r="C66" s="73">
        <v>6000.0</v>
      </c>
      <c r="D66" s="74">
        <v>5.0</v>
      </c>
      <c r="E66" s="73">
        <f t="shared" si="4"/>
        <v>30000</v>
      </c>
      <c r="G66" s="79"/>
    </row>
    <row r="67" ht="15.75" customHeight="1">
      <c r="B67" s="72" t="s">
        <v>24</v>
      </c>
      <c r="C67" s="73">
        <v>9500.0</v>
      </c>
      <c r="D67" s="74">
        <v>4.0</v>
      </c>
      <c r="E67" s="73">
        <f t="shared" si="4"/>
        <v>38000</v>
      </c>
      <c r="G67" s="79"/>
    </row>
    <row r="68" ht="15.75" customHeight="1">
      <c r="B68" s="72" t="s">
        <v>25</v>
      </c>
      <c r="C68" s="73">
        <v>14000.0</v>
      </c>
      <c r="D68" s="74">
        <v>1.0</v>
      </c>
      <c r="E68" s="73">
        <f t="shared" si="4"/>
        <v>14000</v>
      </c>
      <c r="G68" s="79"/>
    </row>
    <row r="69" ht="15.75" customHeight="1">
      <c r="B69" s="72" t="s">
        <v>26</v>
      </c>
      <c r="C69" s="73">
        <v>10000.0</v>
      </c>
      <c r="D69" s="74">
        <v>2.0</v>
      </c>
      <c r="E69" s="73">
        <f t="shared" si="4"/>
        <v>20000</v>
      </c>
      <c r="G69" s="79"/>
    </row>
    <row r="70" ht="15.75" customHeight="1">
      <c r="B70" s="72" t="s">
        <v>40</v>
      </c>
      <c r="C70" s="73">
        <v>15000.0</v>
      </c>
      <c r="D70" s="74">
        <v>4.0</v>
      </c>
      <c r="E70" s="73">
        <f t="shared" si="4"/>
        <v>60000</v>
      </c>
      <c r="G70" s="79"/>
    </row>
    <row r="71" ht="15.75" customHeight="1">
      <c r="B71" s="75" t="s">
        <v>79</v>
      </c>
      <c r="C71" s="76">
        <v>433900.0</v>
      </c>
      <c r="D71" s="77" t="s">
        <v>67</v>
      </c>
      <c r="E71" s="76">
        <f>SUM(E55:E70)</f>
        <v>433900</v>
      </c>
      <c r="G71" s="79"/>
    </row>
    <row r="72" ht="15.75" customHeight="1">
      <c r="G72" s="79"/>
    </row>
    <row r="73" ht="15.75" customHeight="1">
      <c r="B73" s="69" t="s">
        <v>80</v>
      </c>
    </row>
    <row r="74" ht="15.75" customHeight="1">
      <c r="B74" s="70" t="s">
        <v>44</v>
      </c>
      <c r="C74" s="71" t="s">
        <v>1</v>
      </c>
      <c r="D74" s="71" t="s">
        <v>46</v>
      </c>
      <c r="E74" s="71" t="s">
        <v>63</v>
      </c>
    </row>
    <row r="75" ht="15.75" customHeight="1">
      <c r="B75" s="72" t="s">
        <v>7</v>
      </c>
      <c r="C75" s="73">
        <v>7000.0</v>
      </c>
      <c r="D75" s="74">
        <v>2.0</v>
      </c>
      <c r="E75" s="73">
        <f t="shared" ref="E75:E83" si="5">C75*D75</f>
        <v>14000</v>
      </c>
    </row>
    <row r="76" ht="15.75" customHeight="1">
      <c r="B76" s="72" t="s">
        <v>9</v>
      </c>
      <c r="C76" s="73">
        <v>6000.0</v>
      </c>
      <c r="D76" s="74">
        <v>14.0</v>
      </c>
      <c r="E76" s="73">
        <f t="shared" si="5"/>
        <v>84000</v>
      </c>
    </row>
    <row r="77" ht="15.75" customHeight="1">
      <c r="B77" s="72" t="s">
        <v>13</v>
      </c>
      <c r="C77" s="73">
        <v>6000.0</v>
      </c>
      <c r="D77" s="74">
        <v>1.0</v>
      </c>
      <c r="E77" s="73">
        <f t="shared" si="5"/>
        <v>6000</v>
      </c>
    </row>
    <row r="78" ht="15.75" customHeight="1">
      <c r="B78" s="72" t="s">
        <v>18</v>
      </c>
      <c r="C78" s="73">
        <v>600.0</v>
      </c>
      <c r="D78" s="74">
        <v>2.0</v>
      </c>
      <c r="E78" s="73">
        <f t="shared" si="5"/>
        <v>1200</v>
      </c>
    </row>
    <row r="79" ht="15.75" customHeight="1">
      <c r="B79" s="72" t="s">
        <v>19</v>
      </c>
      <c r="C79" s="73">
        <v>1000.0</v>
      </c>
      <c r="D79" s="74">
        <v>2.0</v>
      </c>
      <c r="E79" s="73">
        <f t="shared" si="5"/>
        <v>2000</v>
      </c>
    </row>
    <row r="80" ht="15.75" customHeight="1">
      <c r="B80" s="72" t="s">
        <v>23</v>
      </c>
      <c r="C80" s="73">
        <v>6000.0</v>
      </c>
      <c r="D80" s="74">
        <v>3.0</v>
      </c>
      <c r="E80" s="73">
        <f t="shared" si="5"/>
        <v>18000</v>
      </c>
    </row>
    <row r="81" ht="15.75" customHeight="1">
      <c r="B81" s="72" t="s">
        <v>24</v>
      </c>
      <c r="C81" s="73">
        <v>9500.0</v>
      </c>
      <c r="D81" s="74">
        <v>1.0</v>
      </c>
      <c r="E81" s="73">
        <f t="shared" si="5"/>
        <v>9500</v>
      </c>
    </row>
    <row r="82" ht="15.75" customHeight="1">
      <c r="B82" s="72" t="s">
        <v>25</v>
      </c>
      <c r="C82" s="73">
        <v>14000.0</v>
      </c>
      <c r="D82" s="74">
        <v>2.0</v>
      </c>
      <c r="E82" s="73">
        <f t="shared" si="5"/>
        <v>28000</v>
      </c>
    </row>
    <row r="83" ht="15.75" customHeight="1">
      <c r="B83" s="72" t="s">
        <v>26</v>
      </c>
      <c r="C83" s="73">
        <v>10000.0</v>
      </c>
      <c r="D83" s="74">
        <v>2.0</v>
      </c>
      <c r="E83" s="73">
        <f t="shared" si="5"/>
        <v>20000</v>
      </c>
    </row>
    <row r="84" ht="15.75" customHeight="1">
      <c r="B84" s="75" t="s">
        <v>81</v>
      </c>
      <c r="C84" s="76">
        <v>182700.0</v>
      </c>
      <c r="D84" s="77" t="s">
        <v>67</v>
      </c>
      <c r="E84" s="76">
        <f>SUM(E75:E83)</f>
        <v>182700</v>
      </c>
    </row>
    <row r="85" ht="15.75" customHeight="1"/>
    <row r="86" ht="15.75" customHeight="1">
      <c r="B86" s="69" t="s">
        <v>82</v>
      </c>
    </row>
    <row r="87" ht="15.75" customHeight="1">
      <c r="B87" s="70" t="s">
        <v>44</v>
      </c>
      <c r="C87" s="71" t="s">
        <v>1</v>
      </c>
      <c r="D87" s="71" t="s">
        <v>46</v>
      </c>
      <c r="E87" s="71" t="s">
        <v>63</v>
      </c>
    </row>
    <row r="88" ht="15.75" customHeight="1">
      <c r="B88" s="72" t="s">
        <v>13</v>
      </c>
      <c r="C88" s="73">
        <v>6000.0</v>
      </c>
      <c r="D88" s="74">
        <v>1.0</v>
      </c>
      <c r="E88" s="73">
        <f t="shared" ref="E88:E90" si="6">C88*D88</f>
        <v>6000</v>
      </c>
    </row>
    <row r="89" ht="15.75" customHeight="1">
      <c r="B89" s="72" t="s">
        <v>9</v>
      </c>
      <c r="C89" s="73">
        <v>6000.0</v>
      </c>
      <c r="D89" s="74">
        <v>4.0</v>
      </c>
      <c r="E89" s="73">
        <f t="shared" si="6"/>
        <v>24000</v>
      </c>
    </row>
    <row r="90" ht="15.75" customHeight="1">
      <c r="B90" s="72" t="s">
        <v>23</v>
      </c>
      <c r="C90" s="73">
        <v>6000.0</v>
      </c>
      <c r="D90" s="74">
        <v>4.0</v>
      </c>
      <c r="E90" s="73">
        <f t="shared" si="6"/>
        <v>24000</v>
      </c>
    </row>
    <row r="91" ht="15.75" customHeight="1">
      <c r="B91" s="75" t="s">
        <v>83</v>
      </c>
      <c r="C91" s="76">
        <v>54000.0</v>
      </c>
      <c r="D91" s="77" t="s">
        <v>67</v>
      </c>
      <c r="E91" s="76">
        <f>SUM(E88:E90)</f>
        <v>54000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B1:E1"/>
    <mergeCell ref="G1:J1"/>
    <mergeCell ref="B17:E17"/>
    <mergeCell ref="B32:E32"/>
    <mergeCell ref="B53:E53"/>
    <mergeCell ref="B73:E73"/>
    <mergeCell ref="B86:E8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0"/>
    <col customWidth="1" min="2" max="2" width="12.5"/>
    <col customWidth="1" min="3" max="5" width="10.25"/>
    <col customWidth="1" min="6" max="6" width="8.38"/>
    <col customWidth="1" min="7" max="7" width="9.5"/>
    <col customWidth="1" min="8" max="8" width="10.25"/>
    <col customWidth="1" min="9" max="9" width="8.13"/>
    <col customWidth="1" min="10" max="10" width="9.5"/>
    <col customWidth="1" min="11" max="11" width="10.25"/>
    <col customWidth="1" min="12" max="12" width="6.63"/>
    <col customWidth="1" min="13" max="13" width="9.5"/>
    <col customWidth="1" min="14" max="19" width="9.75"/>
    <col customWidth="1" min="20" max="22" width="9.63"/>
    <col customWidth="1" min="23" max="31" width="9.5"/>
    <col customWidth="1" min="32" max="32" width="8.88"/>
    <col customWidth="1" min="33" max="34" width="10.13"/>
    <col customWidth="1" min="35" max="35" width="9.75"/>
    <col customWidth="1" min="38" max="40" width="9.5"/>
    <col customWidth="1" min="41" max="43" width="9.25"/>
  </cols>
  <sheetData>
    <row r="1" ht="15.75" customHeight="1">
      <c r="A1" s="80" t="s">
        <v>84</v>
      </c>
      <c r="B1" s="81" t="s">
        <v>85</v>
      </c>
      <c r="C1" s="80" t="s">
        <v>86</v>
      </c>
      <c r="D1" s="82" t="s">
        <v>87</v>
      </c>
      <c r="E1" s="83" t="s">
        <v>88</v>
      </c>
      <c r="F1" s="84">
        <v>45246.0</v>
      </c>
      <c r="G1" s="85"/>
      <c r="H1" s="86" t="s">
        <v>89</v>
      </c>
      <c r="I1" s="87">
        <v>45247.0</v>
      </c>
      <c r="J1" s="85"/>
      <c r="K1" s="88" t="s">
        <v>90</v>
      </c>
      <c r="L1" s="89">
        <v>45250.0</v>
      </c>
      <c r="M1" s="85"/>
      <c r="N1" s="83" t="s">
        <v>91</v>
      </c>
      <c r="O1" s="84">
        <v>45253.0</v>
      </c>
      <c r="P1" s="85"/>
      <c r="Q1" s="86" t="s">
        <v>90</v>
      </c>
      <c r="R1" s="87">
        <v>45254.0</v>
      </c>
      <c r="S1" s="85"/>
      <c r="T1" s="88" t="s">
        <v>92</v>
      </c>
      <c r="U1" s="89">
        <v>45255.0</v>
      </c>
      <c r="V1" s="85"/>
      <c r="W1" s="83" t="s">
        <v>92</v>
      </c>
      <c r="X1" s="84">
        <v>45256.0</v>
      </c>
      <c r="Y1" s="85"/>
      <c r="Z1" s="86" t="s">
        <v>90</v>
      </c>
      <c r="AA1" s="87">
        <v>45261.0</v>
      </c>
      <c r="AB1" s="85"/>
      <c r="AC1" s="88" t="s">
        <v>93</v>
      </c>
      <c r="AD1" s="89">
        <v>45263.0</v>
      </c>
      <c r="AE1" s="85"/>
      <c r="AF1" s="83" t="s">
        <v>90</v>
      </c>
      <c r="AG1" s="84">
        <v>45267.0</v>
      </c>
      <c r="AI1" s="86" t="s">
        <v>94</v>
      </c>
      <c r="AJ1" s="87">
        <v>45270.0</v>
      </c>
      <c r="AK1" s="85"/>
      <c r="AL1" s="88" t="s">
        <v>90</v>
      </c>
      <c r="AM1" s="89">
        <v>45272.0</v>
      </c>
      <c r="AN1" s="85"/>
      <c r="AO1" s="83" t="s">
        <v>95</v>
      </c>
      <c r="AP1" s="83" t="s">
        <v>96</v>
      </c>
    </row>
    <row r="2" ht="15.75" customHeight="1">
      <c r="A2" s="81" t="s">
        <v>97</v>
      </c>
      <c r="B2" s="90">
        <f>SUM(B3:B30)-B14-B21</f>
        <v>108922.9167</v>
      </c>
      <c r="C2" s="90">
        <f>SUM(C3:C30)</f>
        <v>397627.0833</v>
      </c>
      <c r="D2" s="91">
        <f>SUM(D3:D26)</f>
        <v>167475</v>
      </c>
      <c r="E2" s="92">
        <f>BALANCE!C4*0.5</f>
        <v>50750</v>
      </c>
      <c r="F2" s="93">
        <f>SUM(F3:F50)</f>
        <v>1</v>
      </c>
      <c r="G2" s="94">
        <f>SUM(G3:G30)</f>
        <v>50750</v>
      </c>
      <c r="H2" s="92">
        <f>BALANCE!D4*0.5</f>
        <v>36100</v>
      </c>
      <c r="I2" s="93">
        <f>SUM(I3:I50)</f>
        <v>1</v>
      </c>
      <c r="J2" s="94">
        <f>SUM(J3:J30)</f>
        <v>36100</v>
      </c>
      <c r="K2" s="92">
        <f>BALANCE!E4*0.5</f>
        <v>8750</v>
      </c>
      <c r="L2" s="93">
        <f>SUM(L3:L50)</f>
        <v>1</v>
      </c>
      <c r="M2" s="94">
        <f>SUM(M3:M21)</f>
        <v>4375</v>
      </c>
      <c r="N2" s="92">
        <f>BALANCE!F4*0.5</f>
        <v>42100</v>
      </c>
      <c r="O2" s="93">
        <f>SUM(O3:O50)</f>
        <v>1</v>
      </c>
      <c r="P2" s="94">
        <f>SUM(P3:P30)</f>
        <v>42100</v>
      </c>
      <c r="Q2" s="92">
        <f>BALANCE!G4*0.5</f>
        <v>42000</v>
      </c>
      <c r="R2" s="93">
        <f>SUM(R3:R50)</f>
        <v>1</v>
      </c>
      <c r="S2" s="94">
        <f>SUM(S3:S30)</f>
        <v>42000</v>
      </c>
      <c r="T2" s="92">
        <f>BALANCE!H4*0.5</f>
        <v>78400</v>
      </c>
      <c r="U2" s="93">
        <f>SUM(U3:U50)</f>
        <v>1</v>
      </c>
      <c r="V2" s="94">
        <f>SUM(V3:V30)</f>
        <v>78400</v>
      </c>
      <c r="W2" s="92">
        <f>BALANCE!I4*0.5</f>
        <v>36250</v>
      </c>
      <c r="X2" s="93">
        <f>SUM(X3:X50)</f>
        <v>1</v>
      </c>
      <c r="Y2" s="94">
        <f>SUM(Y3:Y30)</f>
        <v>36250</v>
      </c>
      <c r="Z2" s="92">
        <f>BALANCE!J4*0.5</f>
        <v>7500</v>
      </c>
      <c r="AA2" s="93">
        <f>SUM(AA3:AA50)</f>
        <v>1</v>
      </c>
      <c r="AB2" s="94">
        <f>SUM(AB3:AB21)</f>
        <v>2812.5</v>
      </c>
      <c r="AC2" s="92">
        <f>BALANCE!K4*0.5</f>
        <v>126550</v>
      </c>
      <c r="AD2" s="93">
        <f>SUM(AD3:AD50)</f>
        <v>1</v>
      </c>
      <c r="AE2" s="94">
        <f>SUM(AE3:AE30)</f>
        <v>126550</v>
      </c>
      <c r="AF2" s="94">
        <f>BALANCE!L4*0.5</f>
        <v>18650</v>
      </c>
      <c r="AG2" s="93">
        <f>SUM(AG3:AG50)</f>
        <v>1</v>
      </c>
      <c r="AH2" s="94">
        <f>SUM(AH3:AH30)</f>
        <v>18650</v>
      </c>
      <c r="AI2" s="94">
        <f>BALANCE!M4*0.5</f>
        <v>12500</v>
      </c>
      <c r="AJ2" s="93">
        <f>SUM(AJ3:AJ50)</f>
        <v>1</v>
      </c>
      <c r="AK2" s="94">
        <f>SUM(AK3:AK30)</f>
        <v>12500</v>
      </c>
      <c r="AL2" s="94">
        <f>BALANCE!N4*0.5</f>
        <v>19000</v>
      </c>
      <c r="AM2" s="93">
        <f>SUM(AM3:AM50)</f>
        <v>1</v>
      </c>
      <c r="AN2" s="94">
        <f>SUM(AN3:AN30)</f>
        <v>19000</v>
      </c>
      <c r="AO2" s="94">
        <f>BALANCE!O4*0.5</f>
        <v>28000</v>
      </c>
      <c r="AP2" s="93">
        <f>SUM(AP3:AP50)</f>
        <v>1</v>
      </c>
      <c r="AQ2" s="94">
        <f>SUM(AQ3:AQ30)</f>
        <v>28000</v>
      </c>
    </row>
    <row r="3" ht="15.75" customHeight="1">
      <c r="A3" s="49" t="s">
        <v>98</v>
      </c>
      <c r="B3" s="92">
        <f t="shared" ref="B3:B26" si="1">SUM(-C3+G3+J3+M3+P3+S3+V3+Y3+AB3+AE3+AH3+AK3+AN3+AQ3)</f>
        <v>112.5</v>
      </c>
      <c r="C3" s="95">
        <f>SUMIF(GASTOS!$F$1:$F$49,A3,GASTOS!$D$1:$D$49)</f>
        <v>63000</v>
      </c>
      <c r="D3" s="96">
        <f t="shared" ref="D3:D7" si="2">COUNTIF(E3:AQ3,"&gt;6")*2300</f>
        <v>9200</v>
      </c>
      <c r="E3" s="49">
        <v>0.0</v>
      </c>
      <c r="F3" s="97">
        <f t="shared" ref="F3:F26" si="3">E3/SUM(E$3:E$50)</f>
        <v>0</v>
      </c>
      <c r="G3" s="98">
        <f t="shared" ref="G3:G13" si="4">F3*$E$2</f>
        <v>0</v>
      </c>
      <c r="H3" s="49">
        <v>0.0</v>
      </c>
      <c r="I3" s="97">
        <f t="shared" ref="I3:I26" si="5">H3/SUM(H$3:H$50)</f>
        <v>0</v>
      </c>
      <c r="J3" s="98">
        <f t="shared" ref="J3:J4" si="6">I3*$E$2</f>
        <v>0</v>
      </c>
      <c r="K3" s="49">
        <v>0.0</v>
      </c>
      <c r="L3" s="97">
        <f t="shared" ref="L3:L26" si="7">K3/SUM(K$3:K$50)</f>
        <v>0</v>
      </c>
      <c r="M3" s="98">
        <f t="shared" ref="M3:M4" si="8">L3*$E$2</f>
        <v>0</v>
      </c>
      <c r="N3" s="49">
        <v>0.0</v>
      </c>
      <c r="O3" s="97">
        <f t="shared" ref="O3:O26" si="9">N3/SUM(N$3:N$50)</f>
        <v>0</v>
      </c>
      <c r="P3" s="98">
        <f>O3*$E$2</f>
        <v>0</v>
      </c>
      <c r="Q3" s="49">
        <v>0.0</v>
      </c>
      <c r="R3" s="97">
        <f t="shared" ref="R3:R26" si="10">Q3/SUM(Q$3:Q$50)</f>
        <v>0</v>
      </c>
      <c r="S3" s="98">
        <f>R3*Q$2</f>
        <v>0</v>
      </c>
      <c r="T3" s="49">
        <v>5.0</v>
      </c>
      <c r="U3" s="97">
        <f t="shared" ref="U3:U26" si="11">T3/SUM(T$3:T$50)</f>
        <v>0.25</v>
      </c>
      <c r="V3" s="98">
        <f>U3*T$2</f>
        <v>19600</v>
      </c>
      <c r="W3" s="49">
        <v>5.0</v>
      </c>
      <c r="X3" s="97">
        <f t="shared" ref="X3:X26" si="12">W3/SUM(W$3:W$50)</f>
        <v>0.25</v>
      </c>
      <c r="Y3" s="98">
        <f>X3*W$2</f>
        <v>9062.5</v>
      </c>
      <c r="Z3" s="49">
        <v>3.0</v>
      </c>
      <c r="AA3" s="97">
        <f t="shared" ref="AA3:AA26" si="13">Z3/SUM(Z$3:Z$50)</f>
        <v>0.375</v>
      </c>
      <c r="AB3" s="98">
        <f>AA3*Z$2</f>
        <v>2812.5</v>
      </c>
      <c r="AC3" s="49">
        <v>5.0</v>
      </c>
      <c r="AD3" s="97">
        <f t="shared" ref="AD3:AD26" si="14">AC3/SUM(AC$3:AC$50)</f>
        <v>0.25</v>
      </c>
      <c r="AE3" s="98">
        <f t="shared" ref="AE3:AE17" si="15">AD3*AC$2</f>
        <v>31637.5</v>
      </c>
      <c r="AF3" s="49">
        <v>0.0</v>
      </c>
      <c r="AG3" s="97">
        <f t="shared" ref="AG3:AG26" si="16">AF3/SUM(AF$3:AF$50)</f>
        <v>0</v>
      </c>
      <c r="AH3" s="98">
        <f t="shared" ref="AH3:AH26" si="17">AG3*AF$2</f>
        <v>0</v>
      </c>
      <c r="AI3" s="49">
        <v>0.0</v>
      </c>
      <c r="AJ3" s="97">
        <f t="shared" ref="AJ3:AJ26" si="18">AI3/SUM(AI$3:AI$50)</f>
        <v>0</v>
      </c>
      <c r="AK3" s="98">
        <f t="shared" ref="AK3:AK26" si="19">AJ3*AI$2</f>
        <v>0</v>
      </c>
      <c r="AL3" s="49">
        <v>0.0</v>
      </c>
      <c r="AM3" s="97">
        <f t="shared" ref="AM3:AM26" si="20">AL3/SUM(AL$3:AL$50)</f>
        <v>0</v>
      </c>
      <c r="AN3" s="98">
        <f t="shared" ref="AN3:AN17" si="21">AM3*AL$2</f>
        <v>0</v>
      </c>
      <c r="AO3" s="49">
        <v>0.0</v>
      </c>
      <c r="AP3" s="97">
        <f t="shared" ref="AP3:AP26" si="22">AO3/SUM(AO$3:AO$50)</f>
        <v>0</v>
      </c>
      <c r="AQ3" s="98">
        <f t="shared" ref="AQ3:AQ26" si="23">AP3*AO$2</f>
        <v>0</v>
      </c>
    </row>
    <row r="4" ht="15.75" customHeight="1">
      <c r="A4" s="99" t="s">
        <v>99</v>
      </c>
      <c r="B4" s="92">
        <f t="shared" si="1"/>
        <v>0</v>
      </c>
      <c r="C4" s="95">
        <f>SUMIF(GASTOS!$F$1:$F$49,A4,GASTOS!$D$1:$D$49)</f>
        <v>34102.75</v>
      </c>
      <c r="D4" s="96">
        <f t="shared" si="2"/>
        <v>6900</v>
      </c>
      <c r="E4" s="49">
        <v>0.0</v>
      </c>
      <c r="F4" s="97">
        <f t="shared" si="3"/>
        <v>0</v>
      </c>
      <c r="G4" s="98">
        <f t="shared" si="4"/>
        <v>0</v>
      </c>
      <c r="H4" s="49">
        <v>0.0</v>
      </c>
      <c r="I4" s="97">
        <f t="shared" si="5"/>
        <v>0</v>
      </c>
      <c r="J4" s="98">
        <f t="shared" si="6"/>
        <v>0</v>
      </c>
      <c r="K4" s="49">
        <v>0.0</v>
      </c>
      <c r="L4" s="97">
        <f t="shared" si="7"/>
        <v>0</v>
      </c>
      <c r="M4" s="98">
        <f t="shared" si="8"/>
        <v>0</v>
      </c>
      <c r="N4" s="49">
        <v>1.0</v>
      </c>
      <c r="O4" s="97">
        <f t="shared" si="9"/>
        <v>0.04</v>
      </c>
      <c r="P4" s="98">
        <f>O4*$N$2</f>
        <v>1684</v>
      </c>
      <c r="Q4" s="49">
        <v>0.0</v>
      </c>
      <c r="R4" s="97">
        <f t="shared" si="10"/>
        <v>0</v>
      </c>
      <c r="S4" s="98">
        <f>R4*$E$2</f>
        <v>0</v>
      </c>
      <c r="T4" s="49">
        <v>0.0</v>
      </c>
      <c r="U4" s="97">
        <f t="shared" si="11"/>
        <v>0</v>
      </c>
      <c r="V4" s="98">
        <f>U4*$Z$2</f>
        <v>0</v>
      </c>
      <c r="W4" s="49">
        <v>0.0</v>
      </c>
      <c r="X4" s="97">
        <f t="shared" si="12"/>
        <v>0</v>
      </c>
      <c r="Y4" s="98">
        <f>X4*$Z$2</f>
        <v>0</v>
      </c>
      <c r="Z4" s="49">
        <v>0.0</v>
      </c>
      <c r="AA4" s="97">
        <f t="shared" si="13"/>
        <v>0</v>
      </c>
      <c r="AB4" s="98">
        <f>AA4*$Z$2</f>
        <v>0</v>
      </c>
      <c r="AC4" s="49">
        <v>5.0</v>
      </c>
      <c r="AD4" s="97">
        <f t="shared" si="14"/>
        <v>0.25</v>
      </c>
      <c r="AE4" s="98">
        <f t="shared" si="15"/>
        <v>31637.5</v>
      </c>
      <c r="AF4" s="49">
        <v>0.0</v>
      </c>
      <c r="AG4" s="97">
        <f t="shared" si="16"/>
        <v>0</v>
      </c>
      <c r="AH4" s="98">
        <f t="shared" si="17"/>
        <v>0</v>
      </c>
      <c r="AI4" s="49">
        <v>5.0</v>
      </c>
      <c r="AJ4" s="97">
        <f t="shared" si="18"/>
        <v>0.0625</v>
      </c>
      <c r="AK4" s="98">
        <f t="shared" si="19"/>
        <v>781.25</v>
      </c>
      <c r="AL4" s="49">
        <v>0.0</v>
      </c>
      <c r="AM4" s="97">
        <f t="shared" si="20"/>
        <v>0</v>
      </c>
      <c r="AN4" s="98">
        <f t="shared" si="21"/>
        <v>0</v>
      </c>
      <c r="AO4" s="49">
        <v>0.0</v>
      </c>
      <c r="AP4" s="97">
        <f t="shared" si="22"/>
        <v>0</v>
      </c>
      <c r="AQ4" s="98">
        <f t="shared" si="23"/>
        <v>0</v>
      </c>
    </row>
    <row r="5" ht="15.75" customHeight="1">
      <c r="A5" s="99" t="s">
        <v>100</v>
      </c>
      <c r="B5" s="92">
        <f t="shared" si="1"/>
        <v>6039.052632</v>
      </c>
      <c r="C5" s="95">
        <f>SUMIF(GASTOS!$F$1:$F$49,A5,GASTOS!$D$1:$D$49)</f>
        <v>0</v>
      </c>
      <c r="D5" s="96">
        <f t="shared" si="2"/>
        <v>4600</v>
      </c>
      <c r="E5" s="49">
        <v>1.0</v>
      </c>
      <c r="F5" s="97">
        <f t="shared" si="3"/>
        <v>0.05263157895</v>
      </c>
      <c r="G5" s="98">
        <f t="shared" si="4"/>
        <v>2671.052632</v>
      </c>
      <c r="H5" s="49">
        <v>0.0</v>
      </c>
      <c r="I5" s="97">
        <f t="shared" si="5"/>
        <v>0</v>
      </c>
      <c r="J5" s="98">
        <f t="shared" ref="J5:J8" si="24">I5*H$2</f>
        <v>0</v>
      </c>
      <c r="K5" s="49">
        <v>0.0</v>
      </c>
      <c r="L5" s="97">
        <f t="shared" si="7"/>
        <v>0</v>
      </c>
      <c r="M5" s="98">
        <f t="shared" ref="M5:M8" si="25">L5*K$2</f>
        <v>0</v>
      </c>
      <c r="N5" s="49">
        <v>2.0</v>
      </c>
      <c r="O5" s="97">
        <f t="shared" si="9"/>
        <v>0.08</v>
      </c>
      <c r="P5" s="98">
        <f t="shared" ref="P5:P8" si="26">O5*N$2</f>
        <v>3368</v>
      </c>
      <c r="Q5" s="49">
        <v>0.0</v>
      </c>
      <c r="R5" s="97">
        <f t="shared" si="10"/>
        <v>0</v>
      </c>
      <c r="S5" s="98">
        <f t="shared" ref="S5:S17" si="27">R5*Q$2</f>
        <v>0</v>
      </c>
      <c r="T5" s="49">
        <v>0.0</v>
      </c>
      <c r="U5" s="97">
        <f t="shared" si="11"/>
        <v>0</v>
      </c>
      <c r="V5" s="98">
        <f t="shared" ref="V5:V17" si="28">U5*T$2</f>
        <v>0</v>
      </c>
      <c r="W5" s="49">
        <v>0.0</v>
      </c>
      <c r="X5" s="97">
        <f t="shared" si="12"/>
        <v>0</v>
      </c>
      <c r="Y5" s="98">
        <f t="shared" ref="Y5:Y17" si="29">X5*W$2</f>
        <v>0</v>
      </c>
      <c r="Z5" s="49">
        <v>0.0</v>
      </c>
      <c r="AA5" s="97">
        <f t="shared" si="13"/>
        <v>0</v>
      </c>
      <c r="AB5" s="98">
        <f t="shared" ref="AB5:AB17" si="30">AA5*Z$2</f>
        <v>0</v>
      </c>
      <c r="AC5" s="49">
        <v>0.0</v>
      </c>
      <c r="AD5" s="97">
        <f t="shared" si="14"/>
        <v>0</v>
      </c>
      <c r="AE5" s="98">
        <f t="shared" si="15"/>
        <v>0</v>
      </c>
      <c r="AF5" s="49">
        <v>0.0</v>
      </c>
      <c r="AG5" s="97">
        <f t="shared" si="16"/>
        <v>0</v>
      </c>
      <c r="AH5" s="98">
        <f t="shared" si="17"/>
        <v>0</v>
      </c>
      <c r="AI5" s="49">
        <v>0.0</v>
      </c>
      <c r="AJ5" s="97">
        <f t="shared" si="18"/>
        <v>0</v>
      </c>
      <c r="AK5" s="98">
        <f t="shared" si="19"/>
        <v>0</v>
      </c>
      <c r="AL5" s="49">
        <v>0.0</v>
      </c>
      <c r="AM5" s="97">
        <f t="shared" si="20"/>
        <v>0</v>
      </c>
      <c r="AN5" s="98">
        <f t="shared" si="21"/>
        <v>0</v>
      </c>
      <c r="AO5" s="49">
        <v>0.0</v>
      </c>
      <c r="AP5" s="97">
        <f t="shared" si="22"/>
        <v>0</v>
      </c>
      <c r="AQ5" s="98">
        <f t="shared" si="23"/>
        <v>0</v>
      </c>
    </row>
    <row r="6" ht="15.75" customHeight="1">
      <c r="A6" s="49" t="s">
        <v>101</v>
      </c>
      <c r="B6" s="92">
        <f t="shared" si="1"/>
        <v>-0.1140350877</v>
      </c>
      <c r="C6" s="95">
        <f>SUMIF(GASTOS!$F$1:$F$49,A6,GASTOS!$D$1:$D$49)</f>
        <v>18678.75</v>
      </c>
      <c r="D6" s="96">
        <f t="shared" si="2"/>
        <v>11500</v>
      </c>
      <c r="E6" s="49">
        <v>1.0</v>
      </c>
      <c r="F6" s="97">
        <f t="shared" si="3"/>
        <v>0.05263157895</v>
      </c>
      <c r="G6" s="98">
        <f t="shared" si="4"/>
        <v>2671.052632</v>
      </c>
      <c r="H6" s="49">
        <v>0.0</v>
      </c>
      <c r="I6" s="97">
        <f t="shared" si="5"/>
        <v>0</v>
      </c>
      <c r="J6" s="98">
        <f t="shared" si="24"/>
        <v>0</v>
      </c>
      <c r="K6" s="49">
        <v>0.0</v>
      </c>
      <c r="L6" s="97">
        <f t="shared" si="7"/>
        <v>0</v>
      </c>
      <c r="M6" s="98">
        <f t="shared" si="25"/>
        <v>0</v>
      </c>
      <c r="N6" s="49">
        <v>2.0</v>
      </c>
      <c r="O6" s="97">
        <f t="shared" si="9"/>
        <v>0.08</v>
      </c>
      <c r="P6" s="98">
        <f t="shared" si="26"/>
        <v>3368</v>
      </c>
      <c r="Q6" s="49">
        <v>5.0</v>
      </c>
      <c r="R6" s="97">
        <f t="shared" si="10"/>
        <v>0.2083333333</v>
      </c>
      <c r="S6" s="98">
        <f t="shared" si="27"/>
        <v>8750</v>
      </c>
      <c r="T6" s="49">
        <v>0.0</v>
      </c>
      <c r="U6" s="97">
        <f t="shared" si="11"/>
        <v>0</v>
      </c>
      <c r="V6" s="98">
        <f t="shared" si="28"/>
        <v>0</v>
      </c>
      <c r="W6" s="49">
        <v>0.0</v>
      </c>
      <c r="X6" s="97">
        <f t="shared" si="12"/>
        <v>0</v>
      </c>
      <c r="Y6" s="98">
        <f t="shared" si="29"/>
        <v>0</v>
      </c>
      <c r="Z6" s="49">
        <v>0.0</v>
      </c>
      <c r="AA6" s="97">
        <f t="shared" si="13"/>
        <v>0</v>
      </c>
      <c r="AB6" s="98">
        <f t="shared" si="30"/>
        <v>0</v>
      </c>
      <c r="AC6" s="49">
        <v>0.0</v>
      </c>
      <c r="AD6" s="97">
        <f t="shared" si="14"/>
        <v>0</v>
      </c>
      <c r="AE6" s="98">
        <f t="shared" si="15"/>
        <v>0</v>
      </c>
      <c r="AF6" s="49">
        <v>5.0</v>
      </c>
      <c r="AG6" s="97">
        <f t="shared" si="16"/>
        <v>0.1666666667</v>
      </c>
      <c r="AH6" s="98">
        <f t="shared" si="17"/>
        <v>3108.333333</v>
      </c>
      <c r="AI6" s="49">
        <v>5.0</v>
      </c>
      <c r="AJ6" s="97">
        <f t="shared" si="18"/>
        <v>0.0625</v>
      </c>
      <c r="AK6" s="98">
        <f t="shared" si="19"/>
        <v>781.25</v>
      </c>
      <c r="AL6" s="49">
        <v>0.0</v>
      </c>
      <c r="AM6" s="97">
        <f t="shared" si="20"/>
        <v>0</v>
      </c>
      <c r="AN6" s="98">
        <f t="shared" si="21"/>
        <v>0</v>
      </c>
      <c r="AO6" s="49">
        <v>0.0</v>
      </c>
      <c r="AP6" s="97">
        <f t="shared" si="22"/>
        <v>0</v>
      </c>
      <c r="AQ6" s="98">
        <f t="shared" si="23"/>
        <v>0</v>
      </c>
    </row>
    <row r="7" ht="15.75" customHeight="1">
      <c r="A7" s="49" t="s">
        <v>102</v>
      </c>
      <c r="B7" s="92">
        <f t="shared" si="1"/>
        <v>9711.52193</v>
      </c>
      <c r="C7" s="95">
        <f>SUMIF(GASTOS!$F$1:$F$49,A7,GASTOS!$D$1:$D$49)</f>
        <v>6666</v>
      </c>
      <c r="D7" s="96">
        <f t="shared" si="2"/>
        <v>9200</v>
      </c>
      <c r="E7" s="49">
        <v>2.0</v>
      </c>
      <c r="F7" s="97">
        <f t="shared" si="3"/>
        <v>0.1052631579</v>
      </c>
      <c r="G7" s="98">
        <f t="shared" si="4"/>
        <v>5342.105263</v>
      </c>
      <c r="H7" s="49">
        <v>1.0</v>
      </c>
      <c r="I7" s="97">
        <f t="shared" si="5"/>
        <v>0.04166666667</v>
      </c>
      <c r="J7" s="98">
        <f t="shared" si="24"/>
        <v>1504.166667</v>
      </c>
      <c r="K7" s="49">
        <v>0.0</v>
      </c>
      <c r="L7" s="97">
        <f t="shared" si="7"/>
        <v>0</v>
      </c>
      <c r="M7" s="98">
        <f t="shared" si="25"/>
        <v>0</v>
      </c>
      <c r="N7" s="49">
        <v>0.0</v>
      </c>
      <c r="O7" s="97">
        <f t="shared" si="9"/>
        <v>0</v>
      </c>
      <c r="P7" s="98">
        <f t="shared" si="26"/>
        <v>0</v>
      </c>
      <c r="Q7" s="49">
        <v>5.0</v>
      </c>
      <c r="R7" s="97">
        <f t="shared" si="10"/>
        <v>0.2083333333</v>
      </c>
      <c r="S7" s="98">
        <f t="shared" si="27"/>
        <v>8750</v>
      </c>
      <c r="T7" s="49">
        <v>0.0</v>
      </c>
      <c r="U7" s="97">
        <f t="shared" si="11"/>
        <v>0</v>
      </c>
      <c r="V7" s="98">
        <f t="shared" si="28"/>
        <v>0</v>
      </c>
      <c r="W7" s="49">
        <v>0.0</v>
      </c>
      <c r="X7" s="97">
        <f t="shared" si="12"/>
        <v>0</v>
      </c>
      <c r="Y7" s="98">
        <f t="shared" si="29"/>
        <v>0</v>
      </c>
      <c r="Z7" s="49">
        <v>0.0</v>
      </c>
      <c r="AA7" s="97">
        <f t="shared" si="13"/>
        <v>0</v>
      </c>
      <c r="AB7" s="98">
        <f t="shared" si="30"/>
        <v>0</v>
      </c>
      <c r="AC7" s="49">
        <v>0.0</v>
      </c>
      <c r="AD7" s="97">
        <f t="shared" si="14"/>
        <v>0</v>
      </c>
      <c r="AE7" s="98">
        <f t="shared" si="15"/>
        <v>0</v>
      </c>
      <c r="AF7" s="49">
        <v>0.0</v>
      </c>
      <c r="AG7" s="97">
        <f t="shared" si="16"/>
        <v>0</v>
      </c>
      <c r="AH7" s="98">
        <f t="shared" si="17"/>
        <v>0</v>
      </c>
      <c r="AI7" s="49">
        <v>5.0</v>
      </c>
      <c r="AJ7" s="97">
        <f t="shared" si="18"/>
        <v>0.0625</v>
      </c>
      <c r="AK7" s="98">
        <f t="shared" si="19"/>
        <v>781.25</v>
      </c>
      <c r="AL7" s="49">
        <v>0.0</v>
      </c>
      <c r="AM7" s="97">
        <f t="shared" si="20"/>
        <v>0</v>
      </c>
      <c r="AN7" s="98">
        <f t="shared" si="21"/>
        <v>0</v>
      </c>
      <c r="AO7" s="49">
        <v>0.0</v>
      </c>
      <c r="AP7" s="97">
        <f t="shared" si="22"/>
        <v>0</v>
      </c>
      <c r="AQ7" s="98">
        <f t="shared" si="23"/>
        <v>0</v>
      </c>
    </row>
    <row r="8" ht="15.75" customHeight="1">
      <c r="A8" s="100" t="s">
        <v>103</v>
      </c>
      <c r="B8" s="92">
        <f t="shared" si="1"/>
        <v>4175.219298</v>
      </c>
      <c r="C8" s="95">
        <f>SUMIF(GASTOS!$F$1:$F$49,A8,GASTOS!$D$1:$D$49)</f>
        <v>0</v>
      </c>
      <c r="D8" s="96">
        <v>4175.0</v>
      </c>
      <c r="E8" s="49">
        <v>1.0</v>
      </c>
      <c r="F8" s="97">
        <f t="shared" si="3"/>
        <v>0.05263157895</v>
      </c>
      <c r="G8" s="98">
        <f t="shared" si="4"/>
        <v>2671.052632</v>
      </c>
      <c r="H8" s="49">
        <v>1.0</v>
      </c>
      <c r="I8" s="97">
        <f t="shared" si="5"/>
        <v>0.04166666667</v>
      </c>
      <c r="J8" s="98">
        <f t="shared" si="24"/>
        <v>1504.166667</v>
      </c>
      <c r="K8" s="49">
        <v>0.0</v>
      </c>
      <c r="L8" s="97">
        <f t="shared" si="7"/>
        <v>0</v>
      </c>
      <c r="M8" s="98">
        <f t="shared" si="25"/>
        <v>0</v>
      </c>
      <c r="N8" s="49">
        <v>0.0</v>
      </c>
      <c r="O8" s="97">
        <f t="shared" si="9"/>
        <v>0</v>
      </c>
      <c r="P8" s="98">
        <f t="shared" si="26"/>
        <v>0</v>
      </c>
      <c r="Q8" s="49">
        <v>0.0</v>
      </c>
      <c r="R8" s="97">
        <f t="shared" si="10"/>
        <v>0</v>
      </c>
      <c r="S8" s="98">
        <f t="shared" si="27"/>
        <v>0</v>
      </c>
      <c r="T8" s="49">
        <v>0.0</v>
      </c>
      <c r="U8" s="97">
        <f t="shared" si="11"/>
        <v>0</v>
      </c>
      <c r="V8" s="98">
        <f t="shared" si="28"/>
        <v>0</v>
      </c>
      <c r="W8" s="49">
        <v>0.0</v>
      </c>
      <c r="X8" s="97">
        <f t="shared" si="12"/>
        <v>0</v>
      </c>
      <c r="Y8" s="98">
        <f t="shared" si="29"/>
        <v>0</v>
      </c>
      <c r="Z8" s="49">
        <v>0.0</v>
      </c>
      <c r="AA8" s="97">
        <f t="shared" si="13"/>
        <v>0</v>
      </c>
      <c r="AB8" s="98">
        <f t="shared" si="30"/>
        <v>0</v>
      </c>
      <c r="AC8" s="49">
        <v>0.0</v>
      </c>
      <c r="AD8" s="97">
        <f t="shared" si="14"/>
        <v>0</v>
      </c>
      <c r="AE8" s="98">
        <f t="shared" si="15"/>
        <v>0</v>
      </c>
      <c r="AF8" s="49">
        <v>0.0</v>
      </c>
      <c r="AG8" s="97">
        <f t="shared" si="16"/>
        <v>0</v>
      </c>
      <c r="AH8" s="98">
        <f t="shared" si="17"/>
        <v>0</v>
      </c>
      <c r="AI8" s="49">
        <v>0.0</v>
      </c>
      <c r="AJ8" s="97">
        <f t="shared" si="18"/>
        <v>0</v>
      </c>
      <c r="AK8" s="98">
        <f t="shared" si="19"/>
        <v>0</v>
      </c>
      <c r="AL8" s="49">
        <v>0.0</v>
      </c>
      <c r="AM8" s="97">
        <f t="shared" si="20"/>
        <v>0</v>
      </c>
      <c r="AN8" s="98">
        <f t="shared" si="21"/>
        <v>0</v>
      </c>
      <c r="AO8" s="49">
        <v>0.0</v>
      </c>
      <c r="AP8" s="97">
        <f t="shared" si="22"/>
        <v>0</v>
      </c>
      <c r="AQ8" s="98">
        <f t="shared" si="23"/>
        <v>0</v>
      </c>
    </row>
    <row r="9" ht="15.75" customHeight="1">
      <c r="A9" s="49" t="s">
        <v>104</v>
      </c>
      <c r="B9" s="92">
        <f t="shared" si="1"/>
        <v>4223.583333</v>
      </c>
      <c r="C9" s="95">
        <f>SUMIF(GASTOS!$F$1:$F$49,A9,GASTOS!$D$1:$D$49)</f>
        <v>6666</v>
      </c>
      <c r="D9" s="96">
        <f t="shared" ref="D9:D13" si="31">COUNTIF(E9:AQ9,"&gt;6")*2300</f>
        <v>6900</v>
      </c>
      <c r="E9" s="49">
        <v>0.0</v>
      </c>
      <c r="F9" s="97">
        <f t="shared" si="3"/>
        <v>0</v>
      </c>
      <c r="G9" s="98">
        <f t="shared" si="4"/>
        <v>0</v>
      </c>
      <c r="H9" s="49">
        <v>0.0</v>
      </c>
      <c r="I9" s="97">
        <f t="shared" si="5"/>
        <v>0</v>
      </c>
      <c r="J9" s="98">
        <f>I9*$E$2</f>
        <v>0</v>
      </c>
      <c r="K9" s="49">
        <v>0.0</v>
      </c>
      <c r="L9" s="97">
        <f t="shared" si="7"/>
        <v>0</v>
      </c>
      <c r="M9" s="98">
        <f>L9*$E$2</f>
        <v>0</v>
      </c>
      <c r="N9" s="49">
        <v>0.0</v>
      </c>
      <c r="O9" s="97">
        <f t="shared" si="9"/>
        <v>0</v>
      </c>
      <c r="P9" s="98">
        <f>O9*$E$2</f>
        <v>0</v>
      </c>
      <c r="Q9" s="49">
        <v>4.0</v>
      </c>
      <c r="R9" s="97">
        <f t="shared" si="10"/>
        <v>0.1666666667</v>
      </c>
      <c r="S9" s="98">
        <f t="shared" si="27"/>
        <v>7000</v>
      </c>
      <c r="T9" s="49">
        <v>0.0</v>
      </c>
      <c r="U9" s="97">
        <f t="shared" si="11"/>
        <v>0</v>
      </c>
      <c r="V9" s="98">
        <f t="shared" si="28"/>
        <v>0</v>
      </c>
      <c r="W9" s="49">
        <v>0.0</v>
      </c>
      <c r="X9" s="97">
        <f t="shared" si="12"/>
        <v>0</v>
      </c>
      <c r="Y9" s="98">
        <f t="shared" si="29"/>
        <v>0</v>
      </c>
      <c r="Z9" s="49">
        <v>0.0</v>
      </c>
      <c r="AA9" s="97">
        <f t="shared" si="13"/>
        <v>0</v>
      </c>
      <c r="AB9" s="98">
        <f t="shared" si="30"/>
        <v>0</v>
      </c>
      <c r="AC9" s="49">
        <v>0.0</v>
      </c>
      <c r="AD9" s="97">
        <f t="shared" si="14"/>
        <v>0</v>
      </c>
      <c r="AE9" s="98">
        <f t="shared" si="15"/>
        <v>0</v>
      </c>
      <c r="AF9" s="49">
        <v>5.0</v>
      </c>
      <c r="AG9" s="97">
        <f t="shared" si="16"/>
        <v>0.1666666667</v>
      </c>
      <c r="AH9" s="98">
        <f t="shared" si="17"/>
        <v>3108.333333</v>
      </c>
      <c r="AI9" s="49">
        <v>5.0</v>
      </c>
      <c r="AJ9" s="97">
        <f t="shared" si="18"/>
        <v>0.0625</v>
      </c>
      <c r="AK9" s="98">
        <f t="shared" si="19"/>
        <v>781.25</v>
      </c>
      <c r="AL9" s="49">
        <v>0.0</v>
      </c>
      <c r="AM9" s="97">
        <f t="shared" si="20"/>
        <v>0</v>
      </c>
      <c r="AN9" s="98">
        <f t="shared" si="21"/>
        <v>0</v>
      </c>
      <c r="AO9" s="49">
        <v>0.0</v>
      </c>
      <c r="AP9" s="97">
        <f t="shared" si="22"/>
        <v>0</v>
      </c>
      <c r="AQ9" s="98">
        <f t="shared" si="23"/>
        <v>0</v>
      </c>
    </row>
    <row r="10" ht="15.75" customHeight="1">
      <c r="A10" s="49" t="s">
        <v>105</v>
      </c>
      <c r="B10" s="92">
        <f t="shared" si="1"/>
        <v>13999.58333</v>
      </c>
      <c r="C10" s="95">
        <f>SUMIF(GASTOS!$F$1:$F$49,A10,GASTOS!$D$1:$D$49)</f>
        <v>46676</v>
      </c>
      <c r="D10" s="96">
        <f t="shared" si="31"/>
        <v>11500</v>
      </c>
      <c r="E10" s="49">
        <v>0.0</v>
      </c>
      <c r="F10" s="97">
        <f t="shared" si="3"/>
        <v>0</v>
      </c>
      <c r="G10" s="98">
        <f t="shared" si="4"/>
        <v>0</v>
      </c>
      <c r="H10" s="49">
        <v>5.0</v>
      </c>
      <c r="I10" s="97">
        <f t="shared" si="5"/>
        <v>0.2083333333</v>
      </c>
      <c r="J10" s="98">
        <f t="shared" ref="J10:J11" si="32">I10*H$2</f>
        <v>7520.833333</v>
      </c>
      <c r="K10" s="49">
        <v>0.0</v>
      </c>
      <c r="L10" s="97">
        <f t="shared" si="7"/>
        <v>0</v>
      </c>
      <c r="M10" s="98">
        <f t="shared" ref="M10:M11" si="33">L10*K$2</f>
        <v>0</v>
      </c>
      <c r="N10" s="49">
        <v>4.0</v>
      </c>
      <c r="O10" s="97">
        <f t="shared" si="9"/>
        <v>0.16</v>
      </c>
      <c r="P10" s="98">
        <f t="shared" ref="P10:P11" si="34">O10*N$2</f>
        <v>6736</v>
      </c>
      <c r="Q10" s="49">
        <v>0.0</v>
      </c>
      <c r="R10" s="97">
        <f t="shared" si="10"/>
        <v>0</v>
      </c>
      <c r="S10" s="98">
        <f t="shared" si="27"/>
        <v>0</v>
      </c>
      <c r="T10" s="49">
        <v>0.0</v>
      </c>
      <c r="U10" s="97">
        <f t="shared" si="11"/>
        <v>0</v>
      </c>
      <c r="V10" s="98">
        <f t="shared" si="28"/>
        <v>0</v>
      </c>
      <c r="W10" s="49">
        <v>0.0</v>
      </c>
      <c r="X10" s="97">
        <f t="shared" si="12"/>
        <v>0</v>
      </c>
      <c r="Y10" s="98">
        <f t="shared" si="29"/>
        <v>0</v>
      </c>
      <c r="Z10" s="49">
        <v>0.0</v>
      </c>
      <c r="AA10" s="97">
        <f t="shared" si="13"/>
        <v>0</v>
      </c>
      <c r="AB10" s="98">
        <f t="shared" si="30"/>
        <v>0</v>
      </c>
      <c r="AC10" s="49">
        <v>5.0</v>
      </c>
      <c r="AD10" s="97">
        <f t="shared" si="14"/>
        <v>0.25</v>
      </c>
      <c r="AE10" s="98">
        <f t="shared" si="15"/>
        <v>31637.5</v>
      </c>
      <c r="AF10" s="49">
        <v>0.0</v>
      </c>
      <c r="AG10" s="97">
        <f t="shared" si="16"/>
        <v>0</v>
      </c>
      <c r="AH10" s="98">
        <f t="shared" si="17"/>
        <v>0</v>
      </c>
      <c r="AI10" s="49">
        <v>5.0</v>
      </c>
      <c r="AJ10" s="97">
        <f t="shared" si="18"/>
        <v>0.0625</v>
      </c>
      <c r="AK10" s="98">
        <f t="shared" si="19"/>
        <v>781.25</v>
      </c>
      <c r="AL10" s="49">
        <v>0.0</v>
      </c>
      <c r="AM10" s="97">
        <f t="shared" si="20"/>
        <v>0</v>
      </c>
      <c r="AN10" s="98">
        <f t="shared" si="21"/>
        <v>0</v>
      </c>
      <c r="AO10" s="49">
        <v>5.0</v>
      </c>
      <c r="AP10" s="97">
        <f t="shared" si="22"/>
        <v>0.5</v>
      </c>
      <c r="AQ10" s="98">
        <f t="shared" si="23"/>
        <v>14000</v>
      </c>
    </row>
    <row r="11" ht="15.75" customHeight="1">
      <c r="A11" s="49" t="s">
        <v>106</v>
      </c>
      <c r="B11" s="92">
        <f t="shared" si="1"/>
        <v>5999.802632</v>
      </c>
      <c r="C11" s="95">
        <f>SUMIF(GASTOS!$F$1:$F$49,A11,GASTOS!$D$1:$D$49)</f>
        <v>14183</v>
      </c>
      <c r="D11" s="96">
        <f t="shared" si="31"/>
        <v>13800</v>
      </c>
      <c r="E11" s="49">
        <v>1.0</v>
      </c>
      <c r="F11" s="97">
        <f t="shared" si="3"/>
        <v>0.05263157895</v>
      </c>
      <c r="G11" s="98">
        <f t="shared" si="4"/>
        <v>2671.052632</v>
      </c>
      <c r="H11" s="49">
        <v>1.0</v>
      </c>
      <c r="I11" s="97">
        <f t="shared" si="5"/>
        <v>0.04166666667</v>
      </c>
      <c r="J11" s="98">
        <f t="shared" si="32"/>
        <v>1504.166667</v>
      </c>
      <c r="K11" s="49">
        <v>0.0</v>
      </c>
      <c r="L11" s="97">
        <f t="shared" si="7"/>
        <v>0</v>
      </c>
      <c r="M11" s="98">
        <f t="shared" si="33"/>
        <v>0</v>
      </c>
      <c r="N11" s="49">
        <v>2.0</v>
      </c>
      <c r="O11" s="97">
        <f t="shared" si="9"/>
        <v>0.08</v>
      </c>
      <c r="P11" s="98">
        <f t="shared" si="34"/>
        <v>3368</v>
      </c>
      <c r="Q11" s="49">
        <v>5.0</v>
      </c>
      <c r="R11" s="97">
        <f t="shared" si="10"/>
        <v>0.2083333333</v>
      </c>
      <c r="S11" s="98">
        <f t="shared" si="27"/>
        <v>8750</v>
      </c>
      <c r="T11" s="49">
        <v>0.0</v>
      </c>
      <c r="U11" s="97">
        <f t="shared" si="11"/>
        <v>0</v>
      </c>
      <c r="V11" s="98">
        <f t="shared" si="28"/>
        <v>0</v>
      </c>
      <c r="W11" s="49">
        <v>0.0</v>
      </c>
      <c r="X11" s="97">
        <f t="shared" si="12"/>
        <v>0</v>
      </c>
      <c r="Y11" s="98">
        <f t="shared" si="29"/>
        <v>0</v>
      </c>
      <c r="Z11" s="49">
        <v>0.0</v>
      </c>
      <c r="AA11" s="97">
        <f t="shared" si="13"/>
        <v>0</v>
      </c>
      <c r="AB11" s="98">
        <f t="shared" si="30"/>
        <v>0</v>
      </c>
      <c r="AC11" s="49">
        <v>0.0</v>
      </c>
      <c r="AD11" s="97">
        <f t="shared" si="14"/>
        <v>0</v>
      </c>
      <c r="AE11" s="98">
        <f t="shared" si="15"/>
        <v>0</v>
      </c>
      <c r="AF11" s="49">
        <v>5.0</v>
      </c>
      <c r="AG11" s="97">
        <f t="shared" si="16"/>
        <v>0.1666666667</v>
      </c>
      <c r="AH11" s="98">
        <f t="shared" si="17"/>
        <v>3108.333333</v>
      </c>
      <c r="AI11" s="49">
        <v>5.0</v>
      </c>
      <c r="AJ11" s="97">
        <f t="shared" si="18"/>
        <v>0.0625</v>
      </c>
      <c r="AK11" s="98">
        <f t="shared" si="19"/>
        <v>781.25</v>
      </c>
      <c r="AL11" s="49">
        <v>0.0</v>
      </c>
      <c r="AM11" s="97">
        <f t="shared" si="20"/>
        <v>0</v>
      </c>
      <c r="AN11" s="98">
        <f t="shared" si="21"/>
        <v>0</v>
      </c>
      <c r="AO11" s="49">
        <v>0.0</v>
      </c>
      <c r="AP11" s="97">
        <f t="shared" si="22"/>
        <v>0</v>
      </c>
      <c r="AQ11" s="98">
        <f t="shared" si="23"/>
        <v>0</v>
      </c>
    </row>
    <row r="12" ht="15.75" customHeight="1">
      <c r="A12" s="49" t="s">
        <v>107</v>
      </c>
      <c r="B12" s="92">
        <f t="shared" si="1"/>
        <v>8523.583333</v>
      </c>
      <c r="C12" s="95">
        <f>SUMIF(GASTOS!$F$1:$F$49,A12,GASTOS!$D$1:$D$49)</f>
        <v>55666</v>
      </c>
      <c r="D12" s="96">
        <f t="shared" si="31"/>
        <v>11500</v>
      </c>
      <c r="E12" s="49">
        <v>0.0</v>
      </c>
      <c r="F12" s="97">
        <f t="shared" si="3"/>
        <v>0</v>
      </c>
      <c r="G12" s="98">
        <f t="shared" si="4"/>
        <v>0</v>
      </c>
      <c r="H12" s="49">
        <v>0.0</v>
      </c>
      <c r="I12" s="97">
        <f t="shared" si="5"/>
        <v>0</v>
      </c>
      <c r="J12" s="98">
        <f>I12*$E$2</f>
        <v>0</v>
      </c>
      <c r="K12" s="49">
        <v>0.0</v>
      </c>
      <c r="L12" s="97">
        <f t="shared" si="7"/>
        <v>0</v>
      </c>
      <c r="M12" s="98">
        <f>L12*$E$2</f>
        <v>0</v>
      </c>
      <c r="N12" s="49">
        <v>0.0</v>
      </c>
      <c r="O12" s="97">
        <f t="shared" si="9"/>
        <v>0</v>
      </c>
      <c r="P12" s="98">
        <f>O12*$E$2</f>
        <v>0</v>
      </c>
      <c r="Q12" s="49">
        <v>0.0</v>
      </c>
      <c r="R12" s="97">
        <f t="shared" si="10"/>
        <v>0</v>
      </c>
      <c r="S12" s="98">
        <f t="shared" si="27"/>
        <v>0</v>
      </c>
      <c r="T12" s="49">
        <v>5.0</v>
      </c>
      <c r="U12" s="97">
        <f t="shared" si="11"/>
        <v>0.25</v>
      </c>
      <c r="V12" s="98">
        <f t="shared" si="28"/>
        <v>19600</v>
      </c>
      <c r="W12" s="49">
        <v>5.0</v>
      </c>
      <c r="X12" s="97">
        <f t="shared" si="12"/>
        <v>0.25</v>
      </c>
      <c r="Y12" s="98">
        <f t="shared" si="29"/>
        <v>9062.5</v>
      </c>
      <c r="Z12" s="49">
        <v>0.0</v>
      </c>
      <c r="AA12" s="97">
        <f t="shared" si="13"/>
        <v>0</v>
      </c>
      <c r="AB12" s="98">
        <f t="shared" si="30"/>
        <v>0</v>
      </c>
      <c r="AC12" s="49">
        <v>5.0</v>
      </c>
      <c r="AD12" s="97">
        <f t="shared" si="14"/>
        <v>0.25</v>
      </c>
      <c r="AE12" s="98">
        <f t="shared" si="15"/>
        <v>31637.5</v>
      </c>
      <c r="AF12" s="49">
        <v>5.0</v>
      </c>
      <c r="AG12" s="97">
        <f t="shared" si="16"/>
        <v>0.1666666667</v>
      </c>
      <c r="AH12" s="98">
        <f t="shared" si="17"/>
        <v>3108.333333</v>
      </c>
      <c r="AI12" s="49">
        <v>5.0</v>
      </c>
      <c r="AJ12" s="97">
        <f t="shared" si="18"/>
        <v>0.0625</v>
      </c>
      <c r="AK12" s="98">
        <f t="shared" si="19"/>
        <v>781.25</v>
      </c>
      <c r="AL12" s="49">
        <v>0.0</v>
      </c>
      <c r="AM12" s="97">
        <f t="shared" si="20"/>
        <v>0</v>
      </c>
      <c r="AN12" s="98">
        <f t="shared" si="21"/>
        <v>0</v>
      </c>
      <c r="AO12" s="49">
        <v>0.0</v>
      </c>
      <c r="AP12" s="97">
        <f t="shared" si="22"/>
        <v>0</v>
      </c>
      <c r="AQ12" s="98">
        <f t="shared" si="23"/>
        <v>0</v>
      </c>
    </row>
    <row r="13" ht="15.75" customHeight="1">
      <c r="A13" s="49" t="s">
        <v>108</v>
      </c>
      <c r="B13" s="92">
        <f t="shared" si="1"/>
        <v>480.2631579</v>
      </c>
      <c r="C13" s="95">
        <f>SUMIF(GASTOS!$F$1:$F$49,A13,GASTOS!$D$1:$D$49)</f>
        <v>26000</v>
      </c>
      <c r="D13" s="96">
        <f t="shared" si="31"/>
        <v>6900</v>
      </c>
      <c r="E13" s="49">
        <v>5.0</v>
      </c>
      <c r="F13" s="97">
        <f t="shared" si="3"/>
        <v>0.2631578947</v>
      </c>
      <c r="G13" s="98">
        <f t="shared" si="4"/>
        <v>13355.26316</v>
      </c>
      <c r="H13" s="49">
        <v>0.0</v>
      </c>
      <c r="I13" s="97">
        <f t="shared" si="5"/>
        <v>0</v>
      </c>
      <c r="J13" s="98">
        <f t="shared" ref="J13:J17" si="35">I13*H$2</f>
        <v>0</v>
      </c>
      <c r="K13" s="49">
        <v>5.0</v>
      </c>
      <c r="L13" s="97">
        <f t="shared" si="7"/>
        <v>0.5</v>
      </c>
      <c r="M13" s="98">
        <f t="shared" ref="M13:M17" si="36">L13*K$2</f>
        <v>4375</v>
      </c>
      <c r="N13" s="49">
        <v>0.0</v>
      </c>
      <c r="O13" s="97">
        <f t="shared" si="9"/>
        <v>0</v>
      </c>
      <c r="P13" s="98">
        <f t="shared" ref="P13:P17" si="37">O13*N$2</f>
        <v>0</v>
      </c>
      <c r="Q13" s="49">
        <v>5.0</v>
      </c>
      <c r="R13" s="97">
        <f t="shared" si="10"/>
        <v>0.2083333333</v>
      </c>
      <c r="S13" s="98">
        <f t="shared" si="27"/>
        <v>8750</v>
      </c>
      <c r="T13" s="49">
        <v>0.0</v>
      </c>
      <c r="U13" s="97">
        <f t="shared" si="11"/>
        <v>0</v>
      </c>
      <c r="V13" s="98">
        <f t="shared" si="28"/>
        <v>0</v>
      </c>
      <c r="W13" s="49">
        <v>0.0</v>
      </c>
      <c r="X13" s="97">
        <f t="shared" si="12"/>
        <v>0</v>
      </c>
      <c r="Y13" s="98">
        <f t="shared" si="29"/>
        <v>0</v>
      </c>
      <c r="Z13" s="49">
        <v>0.0</v>
      </c>
      <c r="AA13" s="97">
        <f t="shared" si="13"/>
        <v>0</v>
      </c>
      <c r="AB13" s="98">
        <f t="shared" si="30"/>
        <v>0</v>
      </c>
      <c r="AC13" s="49">
        <v>0.0</v>
      </c>
      <c r="AD13" s="97">
        <f t="shared" si="14"/>
        <v>0</v>
      </c>
      <c r="AE13" s="98">
        <f t="shared" si="15"/>
        <v>0</v>
      </c>
      <c r="AF13" s="49">
        <v>0.0</v>
      </c>
      <c r="AG13" s="97">
        <f t="shared" si="16"/>
        <v>0</v>
      </c>
      <c r="AH13" s="98">
        <f t="shared" si="17"/>
        <v>0</v>
      </c>
      <c r="AI13" s="49">
        <v>0.0</v>
      </c>
      <c r="AJ13" s="97">
        <f t="shared" si="18"/>
        <v>0</v>
      </c>
      <c r="AK13" s="98">
        <f t="shared" si="19"/>
        <v>0</v>
      </c>
      <c r="AL13" s="49">
        <v>0.0</v>
      </c>
      <c r="AM13" s="97">
        <f t="shared" si="20"/>
        <v>0</v>
      </c>
      <c r="AN13" s="98">
        <f t="shared" si="21"/>
        <v>0</v>
      </c>
      <c r="AO13" s="49">
        <v>0.0</v>
      </c>
      <c r="AP13" s="97">
        <f t="shared" si="22"/>
        <v>0</v>
      </c>
      <c r="AQ13" s="98">
        <f t="shared" si="23"/>
        <v>0</v>
      </c>
    </row>
    <row r="14" ht="15.75" customHeight="1">
      <c r="A14" s="49" t="s">
        <v>109</v>
      </c>
      <c r="B14" s="92">
        <f t="shared" si="1"/>
        <v>0</v>
      </c>
      <c r="C14" s="95">
        <f>SUMIF(GASTOS!$F$1:$F$49,A14,GASTOS!$D$1:$D$49)</f>
        <v>781.25</v>
      </c>
      <c r="D14" s="96">
        <v>0.0</v>
      </c>
      <c r="E14" s="49">
        <v>0.0</v>
      </c>
      <c r="F14" s="97">
        <f t="shared" si="3"/>
        <v>0</v>
      </c>
      <c r="G14" s="98">
        <f>F14*E$2</f>
        <v>0</v>
      </c>
      <c r="H14" s="49">
        <v>0.0</v>
      </c>
      <c r="I14" s="97">
        <f t="shared" si="5"/>
        <v>0</v>
      </c>
      <c r="J14" s="98">
        <f t="shared" si="35"/>
        <v>0</v>
      </c>
      <c r="K14" s="49">
        <v>0.0</v>
      </c>
      <c r="L14" s="97">
        <f t="shared" si="7"/>
        <v>0</v>
      </c>
      <c r="M14" s="98">
        <f t="shared" si="36"/>
        <v>0</v>
      </c>
      <c r="N14" s="49">
        <v>0.0</v>
      </c>
      <c r="O14" s="97">
        <f t="shared" si="9"/>
        <v>0</v>
      </c>
      <c r="P14" s="98">
        <f t="shared" si="37"/>
        <v>0</v>
      </c>
      <c r="Q14" s="49">
        <v>0.0</v>
      </c>
      <c r="R14" s="97">
        <f t="shared" si="10"/>
        <v>0</v>
      </c>
      <c r="S14" s="98">
        <f t="shared" si="27"/>
        <v>0</v>
      </c>
      <c r="T14" s="49">
        <v>0.0</v>
      </c>
      <c r="U14" s="97">
        <f t="shared" si="11"/>
        <v>0</v>
      </c>
      <c r="V14" s="98">
        <f t="shared" si="28"/>
        <v>0</v>
      </c>
      <c r="W14" s="49">
        <v>0.0</v>
      </c>
      <c r="X14" s="97">
        <f t="shared" si="12"/>
        <v>0</v>
      </c>
      <c r="Y14" s="98">
        <f t="shared" si="29"/>
        <v>0</v>
      </c>
      <c r="Z14" s="49">
        <v>0.0</v>
      </c>
      <c r="AA14" s="97">
        <f t="shared" si="13"/>
        <v>0</v>
      </c>
      <c r="AB14" s="98">
        <f t="shared" si="30"/>
        <v>0</v>
      </c>
      <c r="AC14" s="49">
        <v>0.0</v>
      </c>
      <c r="AD14" s="97">
        <f t="shared" si="14"/>
        <v>0</v>
      </c>
      <c r="AE14" s="98">
        <f t="shared" si="15"/>
        <v>0</v>
      </c>
      <c r="AF14" s="49">
        <v>0.0</v>
      </c>
      <c r="AG14" s="97">
        <f t="shared" si="16"/>
        <v>0</v>
      </c>
      <c r="AH14" s="98">
        <f t="shared" si="17"/>
        <v>0</v>
      </c>
      <c r="AI14" s="49">
        <v>5.0</v>
      </c>
      <c r="AJ14" s="97">
        <f t="shared" si="18"/>
        <v>0.0625</v>
      </c>
      <c r="AK14" s="98">
        <f t="shared" si="19"/>
        <v>781.25</v>
      </c>
      <c r="AL14" s="49">
        <v>0.0</v>
      </c>
      <c r="AM14" s="97">
        <f t="shared" si="20"/>
        <v>0</v>
      </c>
      <c r="AN14" s="98">
        <f t="shared" si="21"/>
        <v>0</v>
      </c>
      <c r="AO14" s="49">
        <v>0.0</v>
      </c>
      <c r="AP14" s="97">
        <f t="shared" si="22"/>
        <v>0</v>
      </c>
      <c r="AQ14" s="98">
        <f t="shared" si="23"/>
        <v>0</v>
      </c>
    </row>
    <row r="15" ht="15.75" customHeight="1">
      <c r="A15" s="99" t="s">
        <v>110</v>
      </c>
      <c r="B15" s="92">
        <f t="shared" si="1"/>
        <v>9744.333333</v>
      </c>
      <c r="C15" s="95">
        <f>SUMIF(GASTOS!$F$1:$F$49,A15,GASTOS!$D$1:$D$49)</f>
        <v>0</v>
      </c>
      <c r="D15" s="96">
        <f t="shared" ref="D15:D20" si="38">COUNTIF(E15:AQ15,"&gt;6")*2300</f>
        <v>4600</v>
      </c>
      <c r="E15" s="49">
        <v>0.0</v>
      </c>
      <c r="F15" s="97">
        <f t="shared" si="3"/>
        <v>0</v>
      </c>
      <c r="G15" s="98">
        <f t="shared" ref="G15:G20" si="39">F15*$E$2</f>
        <v>0</v>
      </c>
      <c r="H15" s="49">
        <v>2.0</v>
      </c>
      <c r="I15" s="97">
        <f t="shared" si="5"/>
        <v>0.08333333333</v>
      </c>
      <c r="J15" s="98">
        <f t="shared" si="35"/>
        <v>3008.333333</v>
      </c>
      <c r="K15" s="49">
        <v>0.0</v>
      </c>
      <c r="L15" s="97">
        <f t="shared" si="7"/>
        <v>0</v>
      </c>
      <c r="M15" s="98">
        <f t="shared" si="36"/>
        <v>0</v>
      </c>
      <c r="N15" s="49">
        <v>4.0</v>
      </c>
      <c r="O15" s="97">
        <f t="shared" si="9"/>
        <v>0.16</v>
      </c>
      <c r="P15" s="98">
        <f t="shared" si="37"/>
        <v>6736</v>
      </c>
      <c r="Q15" s="49">
        <v>0.0</v>
      </c>
      <c r="R15" s="97">
        <f t="shared" si="10"/>
        <v>0</v>
      </c>
      <c r="S15" s="98">
        <f t="shared" si="27"/>
        <v>0</v>
      </c>
      <c r="T15" s="49">
        <v>0.0</v>
      </c>
      <c r="U15" s="97">
        <f t="shared" si="11"/>
        <v>0</v>
      </c>
      <c r="V15" s="98">
        <f t="shared" si="28"/>
        <v>0</v>
      </c>
      <c r="W15" s="49">
        <v>0.0</v>
      </c>
      <c r="X15" s="97">
        <f t="shared" si="12"/>
        <v>0</v>
      </c>
      <c r="Y15" s="98">
        <f t="shared" si="29"/>
        <v>0</v>
      </c>
      <c r="Z15" s="49">
        <v>0.0</v>
      </c>
      <c r="AA15" s="97">
        <f t="shared" si="13"/>
        <v>0</v>
      </c>
      <c r="AB15" s="98">
        <f t="shared" si="30"/>
        <v>0</v>
      </c>
      <c r="AC15" s="49">
        <v>0.0</v>
      </c>
      <c r="AD15" s="97">
        <f t="shared" si="14"/>
        <v>0</v>
      </c>
      <c r="AE15" s="98">
        <f t="shared" si="15"/>
        <v>0</v>
      </c>
      <c r="AF15" s="49">
        <v>0.0</v>
      </c>
      <c r="AG15" s="97">
        <f t="shared" si="16"/>
        <v>0</v>
      </c>
      <c r="AH15" s="98">
        <f t="shared" si="17"/>
        <v>0</v>
      </c>
      <c r="AI15" s="49">
        <v>0.0</v>
      </c>
      <c r="AJ15" s="97">
        <f t="shared" si="18"/>
        <v>0</v>
      </c>
      <c r="AK15" s="98">
        <f t="shared" si="19"/>
        <v>0</v>
      </c>
      <c r="AL15" s="49">
        <v>0.0</v>
      </c>
      <c r="AM15" s="97">
        <f t="shared" si="20"/>
        <v>0</v>
      </c>
      <c r="AN15" s="98">
        <f t="shared" si="21"/>
        <v>0</v>
      </c>
      <c r="AO15" s="49">
        <v>0.0</v>
      </c>
      <c r="AP15" s="97">
        <f t="shared" si="22"/>
        <v>0</v>
      </c>
      <c r="AQ15" s="98">
        <f t="shared" si="23"/>
        <v>0</v>
      </c>
    </row>
    <row r="16" ht="15.75" customHeight="1">
      <c r="A16" s="100" t="s">
        <v>111</v>
      </c>
      <c r="B16" s="92">
        <f t="shared" si="1"/>
        <v>5342.105263</v>
      </c>
      <c r="C16" s="95">
        <f>SUMIF(GASTOS!$F$1:$F$49,A16,GASTOS!$D$1:$D$49)</f>
        <v>0</v>
      </c>
      <c r="D16" s="96">
        <f t="shared" si="38"/>
        <v>2300</v>
      </c>
      <c r="E16" s="49">
        <v>2.0</v>
      </c>
      <c r="F16" s="97">
        <f t="shared" si="3"/>
        <v>0.1052631579</v>
      </c>
      <c r="G16" s="98">
        <f t="shared" si="39"/>
        <v>5342.105263</v>
      </c>
      <c r="H16" s="49">
        <v>0.0</v>
      </c>
      <c r="I16" s="97">
        <f t="shared" si="5"/>
        <v>0</v>
      </c>
      <c r="J16" s="98">
        <f t="shared" si="35"/>
        <v>0</v>
      </c>
      <c r="K16" s="49">
        <v>0.0</v>
      </c>
      <c r="L16" s="97">
        <f t="shared" si="7"/>
        <v>0</v>
      </c>
      <c r="M16" s="98">
        <f t="shared" si="36"/>
        <v>0</v>
      </c>
      <c r="N16" s="49">
        <v>0.0</v>
      </c>
      <c r="O16" s="97">
        <f t="shared" si="9"/>
        <v>0</v>
      </c>
      <c r="P16" s="98">
        <f t="shared" si="37"/>
        <v>0</v>
      </c>
      <c r="Q16" s="49">
        <v>0.0</v>
      </c>
      <c r="R16" s="97">
        <f t="shared" si="10"/>
        <v>0</v>
      </c>
      <c r="S16" s="98">
        <f t="shared" si="27"/>
        <v>0</v>
      </c>
      <c r="T16" s="49">
        <v>0.0</v>
      </c>
      <c r="U16" s="97">
        <f t="shared" si="11"/>
        <v>0</v>
      </c>
      <c r="V16" s="98">
        <f t="shared" si="28"/>
        <v>0</v>
      </c>
      <c r="W16" s="49">
        <v>0.0</v>
      </c>
      <c r="X16" s="97">
        <f t="shared" si="12"/>
        <v>0</v>
      </c>
      <c r="Y16" s="98">
        <f t="shared" si="29"/>
        <v>0</v>
      </c>
      <c r="Z16" s="49">
        <v>0.0</v>
      </c>
      <c r="AA16" s="97">
        <f t="shared" si="13"/>
        <v>0</v>
      </c>
      <c r="AB16" s="98">
        <f t="shared" si="30"/>
        <v>0</v>
      </c>
      <c r="AC16" s="49">
        <v>0.0</v>
      </c>
      <c r="AD16" s="97">
        <f t="shared" si="14"/>
        <v>0</v>
      </c>
      <c r="AE16" s="98">
        <f t="shared" si="15"/>
        <v>0</v>
      </c>
      <c r="AF16" s="49">
        <v>0.0</v>
      </c>
      <c r="AG16" s="97">
        <f t="shared" si="16"/>
        <v>0</v>
      </c>
      <c r="AH16" s="98">
        <f t="shared" si="17"/>
        <v>0</v>
      </c>
      <c r="AI16" s="49">
        <v>0.0</v>
      </c>
      <c r="AJ16" s="97">
        <f t="shared" si="18"/>
        <v>0</v>
      </c>
      <c r="AK16" s="98">
        <f t="shared" si="19"/>
        <v>0</v>
      </c>
      <c r="AL16" s="49">
        <v>0.0</v>
      </c>
      <c r="AM16" s="97">
        <f t="shared" si="20"/>
        <v>0</v>
      </c>
      <c r="AN16" s="98">
        <f t="shared" si="21"/>
        <v>0</v>
      </c>
      <c r="AO16" s="49">
        <v>0.0</v>
      </c>
      <c r="AP16" s="97">
        <f t="shared" si="22"/>
        <v>0</v>
      </c>
      <c r="AQ16" s="98">
        <f t="shared" si="23"/>
        <v>0</v>
      </c>
    </row>
    <row r="17" ht="15.75" customHeight="1">
      <c r="A17" s="99" t="s">
        <v>112</v>
      </c>
      <c r="B17" s="92">
        <f t="shared" si="1"/>
        <v>0.2938596491</v>
      </c>
      <c r="C17" s="95">
        <f>SUMIF(GASTOS!$F$1:$F$49,A17,GASTOS!$D$1:$D$49)</f>
        <v>20670</v>
      </c>
      <c r="D17" s="96">
        <f t="shared" si="38"/>
        <v>9200</v>
      </c>
      <c r="E17" s="49">
        <v>4.0</v>
      </c>
      <c r="F17" s="97">
        <f t="shared" si="3"/>
        <v>0.2105263158</v>
      </c>
      <c r="G17" s="98">
        <f t="shared" si="39"/>
        <v>10684.21053</v>
      </c>
      <c r="H17" s="49">
        <v>5.0</v>
      </c>
      <c r="I17" s="97">
        <f t="shared" si="5"/>
        <v>0.2083333333</v>
      </c>
      <c r="J17" s="98">
        <f t="shared" si="35"/>
        <v>7520.833333</v>
      </c>
      <c r="K17" s="49">
        <v>0.0</v>
      </c>
      <c r="L17" s="97">
        <f t="shared" si="7"/>
        <v>0</v>
      </c>
      <c r="M17" s="98">
        <f t="shared" si="36"/>
        <v>0</v>
      </c>
      <c r="N17" s="49">
        <v>1.0</v>
      </c>
      <c r="O17" s="97">
        <f t="shared" si="9"/>
        <v>0.04</v>
      </c>
      <c r="P17" s="98">
        <f t="shared" si="37"/>
        <v>1684</v>
      </c>
      <c r="Q17" s="49">
        <v>0.0</v>
      </c>
      <c r="R17" s="97">
        <f t="shared" si="10"/>
        <v>0</v>
      </c>
      <c r="S17" s="98">
        <f t="shared" si="27"/>
        <v>0</v>
      </c>
      <c r="T17" s="49">
        <v>0.0</v>
      </c>
      <c r="U17" s="97">
        <f t="shared" si="11"/>
        <v>0</v>
      </c>
      <c r="V17" s="98">
        <f t="shared" si="28"/>
        <v>0</v>
      </c>
      <c r="W17" s="49">
        <v>0.0</v>
      </c>
      <c r="X17" s="97">
        <f t="shared" si="12"/>
        <v>0</v>
      </c>
      <c r="Y17" s="98">
        <f t="shared" si="29"/>
        <v>0</v>
      </c>
      <c r="Z17" s="49">
        <v>0.0</v>
      </c>
      <c r="AA17" s="97">
        <f t="shared" si="13"/>
        <v>0</v>
      </c>
      <c r="AB17" s="98">
        <f t="shared" si="30"/>
        <v>0</v>
      </c>
      <c r="AC17" s="49">
        <v>0.0</v>
      </c>
      <c r="AD17" s="97">
        <f t="shared" si="14"/>
        <v>0</v>
      </c>
      <c r="AE17" s="98">
        <f t="shared" si="15"/>
        <v>0</v>
      </c>
      <c r="AF17" s="49">
        <v>0.0</v>
      </c>
      <c r="AG17" s="97">
        <f t="shared" si="16"/>
        <v>0</v>
      </c>
      <c r="AH17" s="98">
        <f t="shared" si="17"/>
        <v>0</v>
      </c>
      <c r="AI17" s="49">
        <v>5.0</v>
      </c>
      <c r="AJ17" s="97">
        <f t="shared" si="18"/>
        <v>0.0625</v>
      </c>
      <c r="AK17" s="98">
        <f t="shared" si="19"/>
        <v>781.25</v>
      </c>
      <c r="AL17" s="49">
        <v>0.0</v>
      </c>
      <c r="AM17" s="97">
        <f t="shared" si="20"/>
        <v>0</v>
      </c>
      <c r="AN17" s="98">
        <f t="shared" si="21"/>
        <v>0</v>
      </c>
      <c r="AO17" s="49">
        <v>0.0</v>
      </c>
      <c r="AP17" s="97">
        <f t="shared" si="22"/>
        <v>0</v>
      </c>
      <c r="AQ17" s="98">
        <f t="shared" si="23"/>
        <v>0</v>
      </c>
    </row>
    <row r="18" ht="15.75" customHeight="1">
      <c r="A18" s="49" t="s">
        <v>113</v>
      </c>
      <c r="B18" s="92">
        <f t="shared" si="1"/>
        <v>0</v>
      </c>
      <c r="C18" s="95">
        <f>SUMIF(GASTOS!$F$1:$F$49,A18,GASTOS!$D$1:$D$49)</f>
        <v>3889.583333</v>
      </c>
      <c r="D18" s="96">
        <f t="shared" si="38"/>
        <v>4600</v>
      </c>
      <c r="E18" s="49">
        <v>0.0</v>
      </c>
      <c r="F18" s="97">
        <f t="shared" si="3"/>
        <v>0</v>
      </c>
      <c r="G18" s="98">
        <f t="shared" si="39"/>
        <v>0</v>
      </c>
      <c r="H18" s="49">
        <v>0.0</v>
      </c>
      <c r="I18" s="97">
        <f t="shared" si="5"/>
        <v>0</v>
      </c>
      <c r="J18" s="98">
        <f>I18*$E$2</f>
        <v>0</v>
      </c>
      <c r="K18" s="49">
        <v>0.0</v>
      </c>
      <c r="L18" s="97">
        <f t="shared" si="7"/>
        <v>0</v>
      </c>
      <c r="M18" s="98">
        <f>L18*$E$2</f>
        <v>0</v>
      </c>
      <c r="N18" s="49">
        <v>0.0</v>
      </c>
      <c r="O18" s="97">
        <f t="shared" si="9"/>
        <v>0</v>
      </c>
      <c r="P18" s="98">
        <f>O18*$E$2</f>
        <v>0</v>
      </c>
      <c r="Q18" s="49">
        <v>0.0</v>
      </c>
      <c r="R18" s="97">
        <f t="shared" si="10"/>
        <v>0</v>
      </c>
      <c r="S18" s="98">
        <f>R18*$E$2</f>
        <v>0</v>
      </c>
      <c r="T18" s="49">
        <v>0.0</v>
      </c>
      <c r="U18" s="97">
        <f t="shared" si="11"/>
        <v>0</v>
      </c>
      <c r="V18" s="98">
        <f>U18*$E$2</f>
        <v>0</v>
      </c>
      <c r="W18" s="49">
        <v>0.0</v>
      </c>
      <c r="X18" s="97">
        <f t="shared" si="12"/>
        <v>0</v>
      </c>
      <c r="Y18" s="98">
        <f>X18*$E$2</f>
        <v>0</v>
      </c>
      <c r="Z18" s="49">
        <v>0.0</v>
      </c>
      <c r="AA18" s="97">
        <f t="shared" si="13"/>
        <v>0</v>
      </c>
      <c r="AB18" s="98">
        <f>AA18*$E$2</f>
        <v>0</v>
      </c>
      <c r="AC18" s="49">
        <v>0.0</v>
      </c>
      <c r="AD18" s="97">
        <f t="shared" si="14"/>
        <v>0</v>
      </c>
      <c r="AE18" s="98">
        <f>AD18*$E$2</f>
        <v>0</v>
      </c>
      <c r="AF18" s="49">
        <v>5.0</v>
      </c>
      <c r="AG18" s="97">
        <f t="shared" si="16"/>
        <v>0.1666666667</v>
      </c>
      <c r="AH18" s="98">
        <f t="shared" si="17"/>
        <v>3108.333333</v>
      </c>
      <c r="AI18" s="49">
        <v>5.0</v>
      </c>
      <c r="AJ18" s="97">
        <f t="shared" si="18"/>
        <v>0.0625</v>
      </c>
      <c r="AK18" s="98">
        <f t="shared" si="19"/>
        <v>781.25</v>
      </c>
      <c r="AL18" s="49">
        <v>0.0</v>
      </c>
      <c r="AM18" s="97">
        <f t="shared" si="20"/>
        <v>0</v>
      </c>
      <c r="AN18" s="98">
        <f>AM18*$E$2</f>
        <v>0</v>
      </c>
      <c r="AO18" s="49">
        <v>0.0</v>
      </c>
      <c r="AP18" s="97">
        <f t="shared" si="22"/>
        <v>0</v>
      </c>
      <c r="AQ18" s="98">
        <f t="shared" si="23"/>
        <v>0</v>
      </c>
    </row>
    <row r="19" ht="15.75" customHeight="1">
      <c r="A19" s="49" t="s">
        <v>114</v>
      </c>
      <c r="B19" s="92">
        <f t="shared" si="1"/>
        <v>1298.802632</v>
      </c>
      <c r="C19" s="95">
        <f>SUMIF(GASTOS!$F$1:$F$49,A19,GASTOS!$D$1:$D$49)</f>
        <v>6666</v>
      </c>
      <c r="D19" s="96">
        <f t="shared" si="38"/>
        <v>6900</v>
      </c>
      <c r="E19" s="49">
        <v>1.0</v>
      </c>
      <c r="F19" s="97">
        <f t="shared" si="3"/>
        <v>0.05263157895</v>
      </c>
      <c r="G19" s="98">
        <f t="shared" si="39"/>
        <v>2671.052632</v>
      </c>
      <c r="H19" s="49">
        <v>3.0</v>
      </c>
      <c r="I19" s="97">
        <f t="shared" si="5"/>
        <v>0.125</v>
      </c>
      <c r="J19" s="98">
        <f t="shared" ref="J19:J25" si="40">I19*H$2</f>
        <v>4512.5</v>
      </c>
      <c r="K19" s="49">
        <v>0.0</v>
      </c>
      <c r="L19" s="97">
        <f t="shared" si="7"/>
        <v>0</v>
      </c>
      <c r="M19" s="98">
        <f t="shared" ref="M19:M25" si="41">L19*K$2</f>
        <v>0</v>
      </c>
      <c r="N19" s="49">
        <v>0.0</v>
      </c>
      <c r="O19" s="97">
        <f t="shared" si="9"/>
        <v>0</v>
      </c>
      <c r="P19" s="98">
        <f t="shared" ref="P19:P25" si="42">O19*N$2</f>
        <v>0</v>
      </c>
      <c r="Q19" s="49">
        <v>0.0</v>
      </c>
      <c r="R19" s="97">
        <f t="shared" si="10"/>
        <v>0</v>
      </c>
      <c r="S19" s="98">
        <f t="shared" ref="S19:S26" si="43">R19*Q$2</f>
        <v>0</v>
      </c>
      <c r="T19" s="49">
        <v>0.0</v>
      </c>
      <c r="U19" s="97">
        <f t="shared" si="11"/>
        <v>0</v>
      </c>
      <c r="V19" s="98">
        <f t="shared" ref="V19:V26" si="44">U19*T$2</f>
        <v>0</v>
      </c>
      <c r="W19" s="49">
        <v>0.0</v>
      </c>
      <c r="X19" s="97">
        <f t="shared" si="12"/>
        <v>0</v>
      </c>
      <c r="Y19" s="98">
        <f t="shared" ref="Y19:Y26" si="45">X19*W$2</f>
        <v>0</v>
      </c>
      <c r="Z19" s="49">
        <v>0.0</v>
      </c>
      <c r="AA19" s="97">
        <f t="shared" si="13"/>
        <v>0</v>
      </c>
      <c r="AB19" s="98">
        <f t="shared" ref="AB19:AB26" si="46">AA19*Z$2</f>
        <v>0</v>
      </c>
      <c r="AC19" s="49">
        <v>0.0</v>
      </c>
      <c r="AD19" s="97">
        <f t="shared" si="14"/>
        <v>0</v>
      </c>
      <c r="AE19" s="98">
        <f t="shared" ref="AE19:AE26" si="47">AD19*AC$2</f>
        <v>0</v>
      </c>
      <c r="AF19" s="49">
        <v>0.0</v>
      </c>
      <c r="AG19" s="97">
        <f t="shared" si="16"/>
        <v>0</v>
      </c>
      <c r="AH19" s="98">
        <f t="shared" si="17"/>
        <v>0</v>
      </c>
      <c r="AI19" s="49">
        <v>5.0</v>
      </c>
      <c r="AJ19" s="97">
        <f t="shared" si="18"/>
        <v>0.0625</v>
      </c>
      <c r="AK19" s="98">
        <f t="shared" si="19"/>
        <v>781.25</v>
      </c>
      <c r="AL19" s="49">
        <v>0.0</v>
      </c>
      <c r="AM19" s="97">
        <f t="shared" si="20"/>
        <v>0</v>
      </c>
      <c r="AN19" s="98">
        <f t="shared" ref="AN19:AN26" si="48">AM19*AL$2</f>
        <v>0</v>
      </c>
      <c r="AO19" s="49">
        <v>0.0</v>
      </c>
      <c r="AP19" s="97">
        <f t="shared" si="22"/>
        <v>0</v>
      </c>
      <c r="AQ19" s="98">
        <f t="shared" si="23"/>
        <v>0</v>
      </c>
    </row>
    <row r="20" ht="15.75" customHeight="1">
      <c r="A20" s="49" t="s">
        <v>115</v>
      </c>
      <c r="B20" s="92">
        <f t="shared" si="1"/>
        <v>7183.552632</v>
      </c>
      <c r="C20" s="95">
        <f>SUMIF(GASTOS!$F$1:$F$49,A20,GASTOS!$D$1:$D$49)</f>
        <v>0</v>
      </c>
      <c r="D20" s="96">
        <f t="shared" si="38"/>
        <v>4600</v>
      </c>
      <c r="E20" s="49">
        <v>1.0</v>
      </c>
      <c r="F20" s="97">
        <f t="shared" si="3"/>
        <v>0.05263157895</v>
      </c>
      <c r="G20" s="98">
        <f t="shared" si="39"/>
        <v>2671.052632</v>
      </c>
      <c r="H20" s="49">
        <v>3.0</v>
      </c>
      <c r="I20" s="97">
        <f t="shared" si="5"/>
        <v>0.125</v>
      </c>
      <c r="J20" s="98">
        <f t="shared" si="40"/>
        <v>4512.5</v>
      </c>
      <c r="K20" s="49">
        <v>0.0</v>
      </c>
      <c r="L20" s="97">
        <f t="shared" si="7"/>
        <v>0</v>
      </c>
      <c r="M20" s="98">
        <f t="shared" si="41"/>
        <v>0</v>
      </c>
      <c r="N20" s="49">
        <v>0.0</v>
      </c>
      <c r="O20" s="97">
        <f t="shared" si="9"/>
        <v>0</v>
      </c>
      <c r="P20" s="98">
        <f t="shared" si="42"/>
        <v>0</v>
      </c>
      <c r="Q20" s="49">
        <v>0.0</v>
      </c>
      <c r="R20" s="97">
        <f t="shared" si="10"/>
        <v>0</v>
      </c>
      <c r="S20" s="98">
        <f t="shared" si="43"/>
        <v>0</v>
      </c>
      <c r="T20" s="49">
        <v>0.0</v>
      </c>
      <c r="U20" s="97">
        <f t="shared" si="11"/>
        <v>0</v>
      </c>
      <c r="V20" s="98">
        <f t="shared" si="44"/>
        <v>0</v>
      </c>
      <c r="W20" s="49">
        <v>0.0</v>
      </c>
      <c r="X20" s="97">
        <f t="shared" si="12"/>
        <v>0</v>
      </c>
      <c r="Y20" s="98">
        <f t="shared" si="45"/>
        <v>0</v>
      </c>
      <c r="Z20" s="49">
        <v>0.0</v>
      </c>
      <c r="AA20" s="97">
        <f t="shared" si="13"/>
        <v>0</v>
      </c>
      <c r="AB20" s="98">
        <f t="shared" si="46"/>
        <v>0</v>
      </c>
      <c r="AC20" s="49">
        <v>0.0</v>
      </c>
      <c r="AD20" s="97">
        <f t="shared" si="14"/>
        <v>0</v>
      </c>
      <c r="AE20" s="98">
        <f t="shared" si="47"/>
        <v>0</v>
      </c>
      <c r="AF20" s="49">
        <v>0.0</v>
      </c>
      <c r="AG20" s="97">
        <f t="shared" si="16"/>
        <v>0</v>
      </c>
      <c r="AH20" s="98">
        <f t="shared" si="17"/>
        <v>0</v>
      </c>
      <c r="AI20" s="49">
        <v>0.0</v>
      </c>
      <c r="AJ20" s="97">
        <f t="shared" si="18"/>
        <v>0</v>
      </c>
      <c r="AK20" s="98">
        <f t="shared" si="19"/>
        <v>0</v>
      </c>
      <c r="AL20" s="49">
        <v>0.0</v>
      </c>
      <c r="AM20" s="97">
        <f t="shared" si="20"/>
        <v>0</v>
      </c>
      <c r="AN20" s="98">
        <f t="shared" si="48"/>
        <v>0</v>
      </c>
      <c r="AO20" s="49">
        <v>0.0</v>
      </c>
      <c r="AP20" s="97">
        <f t="shared" si="22"/>
        <v>0</v>
      </c>
      <c r="AQ20" s="98">
        <f t="shared" si="23"/>
        <v>0</v>
      </c>
    </row>
    <row r="21" ht="15.75" customHeight="1">
      <c r="A21" s="49" t="s">
        <v>116</v>
      </c>
      <c r="B21" s="92">
        <f t="shared" si="1"/>
        <v>0</v>
      </c>
      <c r="C21" s="95">
        <f>SUMIF(GASTOS!$F$1:$F$49,A21,GASTOS!$D$1:$D$49)</f>
        <v>781.25</v>
      </c>
      <c r="D21" s="96">
        <v>0.0</v>
      </c>
      <c r="E21" s="49">
        <v>0.0</v>
      </c>
      <c r="F21" s="97">
        <f t="shared" si="3"/>
        <v>0</v>
      </c>
      <c r="G21" s="98">
        <f>F21*E$2</f>
        <v>0</v>
      </c>
      <c r="H21" s="49">
        <v>0.0</v>
      </c>
      <c r="I21" s="97">
        <f t="shared" si="5"/>
        <v>0</v>
      </c>
      <c r="J21" s="98">
        <f t="shared" si="40"/>
        <v>0</v>
      </c>
      <c r="K21" s="49">
        <v>0.0</v>
      </c>
      <c r="L21" s="97">
        <f t="shared" si="7"/>
        <v>0</v>
      </c>
      <c r="M21" s="98">
        <f t="shared" si="41"/>
        <v>0</v>
      </c>
      <c r="N21" s="49">
        <v>0.0</v>
      </c>
      <c r="O21" s="97">
        <f t="shared" si="9"/>
        <v>0</v>
      </c>
      <c r="P21" s="98">
        <f t="shared" si="42"/>
        <v>0</v>
      </c>
      <c r="Q21" s="49">
        <v>0.0</v>
      </c>
      <c r="R21" s="97">
        <f t="shared" si="10"/>
        <v>0</v>
      </c>
      <c r="S21" s="98">
        <f t="shared" si="43"/>
        <v>0</v>
      </c>
      <c r="T21" s="49">
        <v>0.0</v>
      </c>
      <c r="U21" s="97">
        <f t="shared" si="11"/>
        <v>0</v>
      </c>
      <c r="V21" s="98">
        <f t="shared" si="44"/>
        <v>0</v>
      </c>
      <c r="W21" s="49">
        <v>0.0</v>
      </c>
      <c r="X21" s="97">
        <f t="shared" si="12"/>
        <v>0</v>
      </c>
      <c r="Y21" s="98">
        <f t="shared" si="45"/>
        <v>0</v>
      </c>
      <c r="Z21" s="49">
        <v>0.0</v>
      </c>
      <c r="AA21" s="97">
        <f t="shared" si="13"/>
        <v>0</v>
      </c>
      <c r="AB21" s="98">
        <f t="shared" si="46"/>
        <v>0</v>
      </c>
      <c r="AC21" s="49">
        <v>0.0</v>
      </c>
      <c r="AD21" s="97">
        <f t="shared" si="14"/>
        <v>0</v>
      </c>
      <c r="AE21" s="98">
        <f t="shared" si="47"/>
        <v>0</v>
      </c>
      <c r="AF21" s="49">
        <v>0.0</v>
      </c>
      <c r="AG21" s="97">
        <f t="shared" si="16"/>
        <v>0</v>
      </c>
      <c r="AH21" s="98">
        <f t="shared" si="17"/>
        <v>0</v>
      </c>
      <c r="AI21" s="49">
        <v>5.0</v>
      </c>
      <c r="AJ21" s="97">
        <f t="shared" si="18"/>
        <v>0.0625</v>
      </c>
      <c r="AK21" s="98">
        <f t="shared" si="19"/>
        <v>781.25</v>
      </c>
      <c r="AL21" s="49">
        <v>0.0</v>
      </c>
      <c r="AM21" s="97">
        <f t="shared" si="20"/>
        <v>0</v>
      </c>
      <c r="AN21" s="98">
        <f t="shared" si="48"/>
        <v>0</v>
      </c>
      <c r="AO21" s="49">
        <v>0.0</v>
      </c>
      <c r="AP21" s="97">
        <f t="shared" si="22"/>
        <v>0</v>
      </c>
      <c r="AQ21" s="98">
        <f t="shared" si="23"/>
        <v>0</v>
      </c>
    </row>
    <row r="22" ht="15.75" customHeight="1">
      <c r="A22" s="49" t="s">
        <v>117</v>
      </c>
      <c r="B22" s="92">
        <f t="shared" si="1"/>
        <v>10926.25</v>
      </c>
      <c r="C22" s="95">
        <f>SUMIF(GASTOS!$F$1:$F$49,A22,GASTOS!$D$1:$D$49)</f>
        <v>59500</v>
      </c>
      <c r="D22" s="96">
        <f t="shared" ref="D22:D26" si="49">COUNTIF(E22:AQ22,"&gt;6")*2300</f>
        <v>18400</v>
      </c>
      <c r="E22" s="49">
        <v>0.0</v>
      </c>
      <c r="F22" s="97">
        <f t="shared" si="3"/>
        <v>0</v>
      </c>
      <c r="G22" s="98">
        <f>F22*$E$2</f>
        <v>0</v>
      </c>
      <c r="H22" s="49">
        <v>0.0</v>
      </c>
      <c r="I22" s="97">
        <f t="shared" si="5"/>
        <v>0</v>
      </c>
      <c r="J22" s="98">
        <f t="shared" si="40"/>
        <v>0</v>
      </c>
      <c r="K22" s="49">
        <v>5.0</v>
      </c>
      <c r="L22" s="97">
        <f t="shared" si="7"/>
        <v>0.5</v>
      </c>
      <c r="M22" s="98">
        <f t="shared" si="41"/>
        <v>4375</v>
      </c>
      <c r="N22" s="49">
        <v>5.0</v>
      </c>
      <c r="O22" s="97">
        <f t="shared" si="9"/>
        <v>0.2</v>
      </c>
      <c r="P22" s="98">
        <f t="shared" si="42"/>
        <v>8420</v>
      </c>
      <c r="Q22" s="49">
        <v>0.0</v>
      </c>
      <c r="R22" s="97">
        <f t="shared" si="10"/>
        <v>0</v>
      </c>
      <c r="S22" s="98">
        <f t="shared" si="43"/>
        <v>0</v>
      </c>
      <c r="T22" s="49">
        <v>5.0</v>
      </c>
      <c r="U22" s="97">
        <f t="shared" si="11"/>
        <v>0.25</v>
      </c>
      <c r="V22" s="98">
        <f t="shared" si="44"/>
        <v>19600</v>
      </c>
      <c r="W22" s="49">
        <v>5.0</v>
      </c>
      <c r="X22" s="97">
        <f t="shared" si="12"/>
        <v>0.25</v>
      </c>
      <c r="Y22" s="98">
        <f t="shared" si="45"/>
        <v>9062.5</v>
      </c>
      <c r="Z22" s="49">
        <v>5.0</v>
      </c>
      <c r="AA22" s="97">
        <f t="shared" si="13"/>
        <v>0.625</v>
      </c>
      <c r="AB22" s="98">
        <f t="shared" si="46"/>
        <v>4687.5</v>
      </c>
      <c r="AC22" s="49">
        <v>0.0</v>
      </c>
      <c r="AD22" s="97">
        <f t="shared" si="14"/>
        <v>0</v>
      </c>
      <c r="AE22" s="98">
        <f t="shared" si="47"/>
        <v>0</v>
      </c>
      <c r="AF22" s="49">
        <v>0.0</v>
      </c>
      <c r="AG22" s="97">
        <f t="shared" si="16"/>
        <v>0</v>
      </c>
      <c r="AH22" s="98">
        <f t="shared" si="17"/>
        <v>0</v>
      </c>
      <c r="AI22" s="49">
        <v>5.0</v>
      </c>
      <c r="AJ22" s="97">
        <f t="shared" si="18"/>
        <v>0.0625</v>
      </c>
      <c r="AK22" s="98">
        <f t="shared" si="19"/>
        <v>781.25</v>
      </c>
      <c r="AL22" s="49">
        <v>5.0</v>
      </c>
      <c r="AM22" s="97">
        <f t="shared" si="20"/>
        <v>0.5</v>
      </c>
      <c r="AN22" s="98">
        <f t="shared" si="48"/>
        <v>9500</v>
      </c>
      <c r="AO22" s="49">
        <v>5.0</v>
      </c>
      <c r="AP22" s="97">
        <f t="shared" si="22"/>
        <v>0.5</v>
      </c>
      <c r="AQ22" s="98">
        <f t="shared" si="23"/>
        <v>14000</v>
      </c>
    </row>
    <row r="23" ht="15.75" customHeight="1">
      <c r="A23" s="49" t="s">
        <v>118</v>
      </c>
      <c r="B23" s="92">
        <f t="shared" si="1"/>
        <v>0</v>
      </c>
      <c r="C23" s="95">
        <f>SUMIF(GASTOS!$F$1:$F$49,A23,GASTOS!$D$1:$D$49)</f>
        <v>781.25</v>
      </c>
      <c r="D23" s="96">
        <f t="shared" si="49"/>
        <v>2300</v>
      </c>
      <c r="E23" s="49">
        <v>0.0</v>
      </c>
      <c r="F23" s="97">
        <f t="shared" si="3"/>
        <v>0</v>
      </c>
      <c r="G23" s="98">
        <f t="shared" ref="G23:G24" si="50">F23*E$2</f>
        <v>0</v>
      </c>
      <c r="H23" s="49">
        <v>0.0</v>
      </c>
      <c r="I23" s="97">
        <f t="shared" si="5"/>
        <v>0</v>
      </c>
      <c r="J23" s="98">
        <f t="shared" si="40"/>
        <v>0</v>
      </c>
      <c r="K23" s="49">
        <v>0.0</v>
      </c>
      <c r="L23" s="97">
        <f t="shared" si="7"/>
        <v>0</v>
      </c>
      <c r="M23" s="98">
        <f t="shared" si="41"/>
        <v>0</v>
      </c>
      <c r="N23" s="49">
        <v>0.0</v>
      </c>
      <c r="O23" s="97">
        <f t="shared" si="9"/>
        <v>0</v>
      </c>
      <c r="P23" s="98">
        <f t="shared" si="42"/>
        <v>0</v>
      </c>
      <c r="Q23" s="49">
        <v>0.0</v>
      </c>
      <c r="R23" s="97">
        <f t="shared" si="10"/>
        <v>0</v>
      </c>
      <c r="S23" s="98">
        <f t="shared" si="43"/>
        <v>0</v>
      </c>
      <c r="T23" s="49">
        <v>0.0</v>
      </c>
      <c r="U23" s="97">
        <f t="shared" si="11"/>
        <v>0</v>
      </c>
      <c r="V23" s="98">
        <f t="shared" si="44"/>
        <v>0</v>
      </c>
      <c r="W23" s="49">
        <v>0.0</v>
      </c>
      <c r="X23" s="97">
        <f t="shared" si="12"/>
        <v>0</v>
      </c>
      <c r="Y23" s="98">
        <f t="shared" si="45"/>
        <v>0</v>
      </c>
      <c r="Z23" s="49">
        <v>0.0</v>
      </c>
      <c r="AA23" s="97">
        <f t="shared" si="13"/>
        <v>0</v>
      </c>
      <c r="AB23" s="98">
        <f t="shared" si="46"/>
        <v>0</v>
      </c>
      <c r="AC23" s="49">
        <v>0.0</v>
      </c>
      <c r="AD23" s="97">
        <f t="shared" si="14"/>
        <v>0</v>
      </c>
      <c r="AE23" s="98">
        <f t="shared" si="47"/>
        <v>0</v>
      </c>
      <c r="AF23" s="49">
        <v>0.0</v>
      </c>
      <c r="AG23" s="97">
        <f t="shared" si="16"/>
        <v>0</v>
      </c>
      <c r="AH23" s="98">
        <f t="shared" si="17"/>
        <v>0</v>
      </c>
      <c r="AI23" s="49">
        <v>5.0</v>
      </c>
      <c r="AJ23" s="97">
        <f t="shared" si="18"/>
        <v>0.0625</v>
      </c>
      <c r="AK23" s="98">
        <f t="shared" si="19"/>
        <v>781.25</v>
      </c>
      <c r="AL23" s="49">
        <v>0.0</v>
      </c>
      <c r="AM23" s="97">
        <f t="shared" si="20"/>
        <v>0</v>
      </c>
      <c r="AN23" s="98">
        <f t="shared" si="48"/>
        <v>0</v>
      </c>
      <c r="AO23" s="49">
        <v>0.0</v>
      </c>
      <c r="AP23" s="97">
        <f t="shared" si="22"/>
        <v>0</v>
      </c>
      <c r="AQ23" s="98">
        <f t="shared" si="23"/>
        <v>0</v>
      </c>
    </row>
    <row r="24" ht="15.75" customHeight="1">
      <c r="A24" s="49" t="s">
        <v>119</v>
      </c>
      <c r="B24" s="92">
        <f t="shared" si="1"/>
        <v>9500</v>
      </c>
      <c r="C24" s="95">
        <f>SUMIF(GASTOS!$F$1:$F$49,A24,GASTOS!$D$1:$D$49)</f>
        <v>781.25</v>
      </c>
      <c r="D24" s="96">
        <f t="shared" si="49"/>
        <v>4600</v>
      </c>
      <c r="E24" s="49">
        <v>0.0</v>
      </c>
      <c r="F24" s="97">
        <f t="shared" si="3"/>
        <v>0</v>
      </c>
      <c r="G24" s="98">
        <f t="shared" si="50"/>
        <v>0</v>
      </c>
      <c r="H24" s="49">
        <v>0.0</v>
      </c>
      <c r="I24" s="97">
        <f t="shared" si="5"/>
        <v>0</v>
      </c>
      <c r="J24" s="98">
        <f t="shared" si="40"/>
        <v>0</v>
      </c>
      <c r="K24" s="49">
        <v>0.0</v>
      </c>
      <c r="L24" s="97">
        <f t="shared" si="7"/>
        <v>0</v>
      </c>
      <c r="M24" s="98">
        <f t="shared" si="41"/>
        <v>0</v>
      </c>
      <c r="N24" s="49">
        <v>0.0</v>
      </c>
      <c r="O24" s="97">
        <f t="shared" si="9"/>
        <v>0</v>
      </c>
      <c r="P24" s="98">
        <f t="shared" si="42"/>
        <v>0</v>
      </c>
      <c r="Q24" s="49">
        <v>0.0</v>
      </c>
      <c r="R24" s="97">
        <f t="shared" si="10"/>
        <v>0</v>
      </c>
      <c r="S24" s="98">
        <f t="shared" si="43"/>
        <v>0</v>
      </c>
      <c r="T24" s="49">
        <v>0.0</v>
      </c>
      <c r="U24" s="97">
        <f t="shared" si="11"/>
        <v>0</v>
      </c>
      <c r="V24" s="98">
        <f t="shared" si="44"/>
        <v>0</v>
      </c>
      <c r="W24" s="49">
        <v>0.0</v>
      </c>
      <c r="X24" s="97">
        <f t="shared" si="12"/>
        <v>0</v>
      </c>
      <c r="Y24" s="98">
        <f t="shared" si="45"/>
        <v>0</v>
      </c>
      <c r="Z24" s="49">
        <v>0.0</v>
      </c>
      <c r="AA24" s="97">
        <f t="shared" si="13"/>
        <v>0</v>
      </c>
      <c r="AB24" s="98">
        <f t="shared" si="46"/>
        <v>0</v>
      </c>
      <c r="AC24" s="49">
        <v>0.0</v>
      </c>
      <c r="AD24" s="97">
        <f t="shared" si="14"/>
        <v>0</v>
      </c>
      <c r="AE24" s="98">
        <f t="shared" si="47"/>
        <v>0</v>
      </c>
      <c r="AF24" s="49">
        <v>0.0</v>
      </c>
      <c r="AG24" s="97">
        <f t="shared" si="16"/>
        <v>0</v>
      </c>
      <c r="AH24" s="98">
        <f t="shared" si="17"/>
        <v>0</v>
      </c>
      <c r="AI24" s="101">
        <v>5.0</v>
      </c>
      <c r="AJ24" s="102">
        <f t="shared" si="18"/>
        <v>0.0625</v>
      </c>
      <c r="AK24" s="98">
        <f t="shared" si="19"/>
        <v>781.25</v>
      </c>
      <c r="AL24" s="49">
        <v>5.0</v>
      </c>
      <c r="AM24" s="97">
        <f t="shared" si="20"/>
        <v>0.5</v>
      </c>
      <c r="AN24" s="98">
        <f t="shared" si="48"/>
        <v>9500</v>
      </c>
      <c r="AO24" s="49">
        <v>0.0</v>
      </c>
      <c r="AP24" s="97">
        <f t="shared" si="22"/>
        <v>0</v>
      </c>
      <c r="AQ24" s="98">
        <f t="shared" si="23"/>
        <v>0</v>
      </c>
    </row>
    <row r="25" ht="15.75" customHeight="1">
      <c r="A25" s="99" t="s">
        <v>120</v>
      </c>
      <c r="B25" s="92">
        <f t="shared" si="1"/>
        <v>0.08333333333</v>
      </c>
      <c r="C25" s="95">
        <f>SUMIF(GASTOS!$F$1:$F$49,A25,GASTOS!$D$1:$D$49)</f>
        <v>15138</v>
      </c>
      <c r="D25" s="96">
        <f t="shared" si="49"/>
        <v>9200</v>
      </c>
      <c r="E25" s="49">
        <v>0.0</v>
      </c>
      <c r="F25" s="97">
        <f t="shared" si="3"/>
        <v>0</v>
      </c>
      <c r="G25" s="98">
        <f t="shared" ref="G25:G26" si="51">F25*$E$2</f>
        <v>0</v>
      </c>
      <c r="H25" s="49">
        <v>3.0</v>
      </c>
      <c r="I25" s="97">
        <f t="shared" si="5"/>
        <v>0.125</v>
      </c>
      <c r="J25" s="98">
        <f t="shared" si="40"/>
        <v>4512.5</v>
      </c>
      <c r="K25" s="49">
        <v>0.0</v>
      </c>
      <c r="L25" s="97">
        <f t="shared" si="7"/>
        <v>0</v>
      </c>
      <c r="M25" s="98">
        <f t="shared" si="41"/>
        <v>0</v>
      </c>
      <c r="N25" s="49">
        <v>4.0</v>
      </c>
      <c r="O25" s="97">
        <f t="shared" si="9"/>
        <v>0.16</v>
      </c>
      <c r="P25" s="98">
        <f t="shared" si="42"/>
        <v>6736</v>
      </c>
      <c r="Q25" s="49">
        <v>0.0</v>
      </c>
      <c r="R25" s="97">
        <f t="shared" si="10"/>
        <v>0</v>
      </c>
      <c r="S25" s="98">
        <f t="shared" si="43"/>
        <v>0</v>
      </c>
      <c r="T25" s="49">
        <v>0.0</v>
      </c>
      <c r="U25" s="97">
        <f t="shared" si="11"/>
        <v>0</v>
      </c>
      <c r="V25" s="98">
        <f t="shared" si="44"/>
        <v>0</v>
      </c>
      <c r="W25" s="49">
        <v>0.0</v>
      </c>
      <c r="X25" s="97">
        <f t="shared" si="12"/>
        <v>0</v>
      </c>
      <c r="Y25" s="98">
        <f t="shared" si="45"/>
        <v>0</v>
      </c>
      <c r="Z25" s="49">
        <v>0.0</v>
      </c>
      <c r="AA25" s="97">
        <f t="shared" si="13"/>
        <v>0</v>
      </c>
      <c r="AB25" s="98">
        <f t="shared" si="46"/>
        <v>0</v>
      </c>
      <c r="AC25" s="49">
        <v>0.0</v>
      </c>
      <c r="AD25" s="97">
        <f t="shared" si="14"/>
        <v>0</v>
      </c>
      <c r="AE25" s="98">
        <f t="shared" si="47"/>
        <v>0</v>
      </c>
      <c r="AF25" s="49">
        <v>5.0</v>
      </c>
      <c r="AG25" s="97">
        <f t="shared" si="16"/>
        <v>0.1666666667</v>
      </c>
      <c r="AH25" s="98">
        <f t="shared" si="17"/>
        <v>3108.333333</v>
      </c>
      <c r="AI25" s="49">
        <v>5.0</v>
      </c>
      <c r="AJ25" s="97">
        <f t="shared" si="18"/>
        <v>0.0625</v>
      </c>
      <c r="AK25" s="98">
        <f t="shared" si="19"/>
        <v>781.25</v>
      </c>
      <c r="AL25" s="49">
        <v>0.0</v>
      </c>
      <c r="AM25" s="97">
        <f t="shared" si="20"/>
        <v>0</v>
      </c>
      <c r="AN25" s="98">
        <f t="shared" si="48"/>
        <v>0</v>
      </c>
      <c r="AO25" s="49">
        <v>0.0</v>
      </c>
      <c r="AP25" s="97">
        <f t="shared" si="22"/>
        <v>0</v>
      </c>
      <c r="AQ25" s="98">
        <f t="shared" si="23"/>
        <v>0</v>
      </c>
    </row>
    <row r="26" ht="15.75" customHeight="1">
      <c r="A26" s="49" t="s">
        <v>121</v>
      </c>
      <c r="B26" s="92">
        <f t="shared" si="1"/>
        <v>11662.5</v>
      </c>
      <c r="C26" s="95">
        <f>SUMIF(GASTOS!$F$1:$F$49,A26,GASTOS!$D$1:$D$49)</f>
        <v>17000</v>
      </c>
      <c r="D26" s="96">
        <f t="shared" si="49"/>
        <v>4600</v>
      </c>
      <c r="E26" s="49">
        <v>0.0</v>
      </c>
      <c r="F26" s="97">
        <f t="shared" si="3"/>
        <v>0</v>
      </c>
      <c r="G26" s="98">
        <f t="shared" si="51"/>
        <v>0</v>
      </c>
      <c r="H26" s="49">
        <v>0.0</v>
      </c>
      <c r="I26" s="97">
        <f t="shared" si="5"/>
        <v>0</v>
      </c>
      <c r="J26" s="98">
        <f>I26*$E$2</f>
        <v>0</v>
      </c>
      <c r="K26" s="49">
        <v>0.0</v>
      </c>
      <c r="L26" s="97">
        <f t="shared" si="7"/>
        <v>0</v>
      </c>
      <c r="M26" s="98">
        <f>L26*$E$2</f>
        <v>0</v>
      </c>
      <c r="N26" s="49">
        <v>0.0</v>
      </c>
      <c r="O26" s="97">
        <f t="shared" si="9"/>
        <v>0</v>
      </c>
      <c r="P26" s="98">
        <f>O26*$E$2</f>
        <v>0</v>
      </c>
      <c r="Q26" s="49">
        <v>0.0</v>
      </c>
      <c r="R26" s="97">
        <f t="shared" si="10"/>
        <v>0</v>
      </c>
      <c r="S26" s="98">
        <f t="shared" si="43"/>
        <v>0</v>
      </c>
      <c r="T26" s="49">
        <v>5.0</v>
      </c>
      <c r="U26" s="97">
        <f t="shared" si="11"/>
        <v>0.25</v>
      </c>
      <c r="V26" s="98">
        <f t="shared" si="44"/>
        <v>19600</v>
      </c>
      <c r="W26" s="49">
        <v>5.0</v>
      </c>
      <c r="X26" s="97">
        <f t="shared" si="12"/>
        <v>0.25</v>
      </c>
      <c r="Y26" s="98">
        <f t="shared" si="45"/>
        <v>9062.5</v>
      </c>
      <c r="Z26" s="49">
        <v>0.0</v>
      </c>
      <c r="AA26" s="97">
        <f t="shared" si="13"/>
        <v>0</v>
      </c>
      <c r="AB26" s="98">
        <f t="shared" si="46"/>
        <v>0</v>
      </c>
      <c r="AC26" s="49">
        <v>0.0</v>
      </c>
      <c r="AD26" s="97">
        <f t="shared" si="14"/>
        <v>0</v>
      </c>
      <c r="AE26" s="98">
        <f t="shared" si="47"/>
        <v>0</v>
      </c>
      <c r="AF26" s="49">
        <v>0.0</v>
      </c>
      <c r="AG26" s="97">
        <f t="shared" si="16"/>
        <v>0</v>
      </c>
      <c r="AH26" s="98">
        <f t="shared" si="17"/>
        <v>0</v>
      </c>
      <c r="AI26" s="49">
        <v>0.0</v>
      </c>
      <c r="AJ26" s="97">
        <f t="shared" si="18"/>
        <v>0</v>
      </c>
      <c r="AK26" s="98">
        <f t="shared" si="19"/>
        <v>0</v>
      </c>
      <c r="AL26" s="49">
        <v>0.0</v>
      </c>
      <c r="AM26" s="97">
        <f t="shared" si="20"/>
        <v>0</v>
      </c>
      <c r="AN26" s="98">
        <f t="shared" si="48"/>
        <v>0</v>
      </c>
      <c r="AO26" s="49">
        <v>0.0</v>
      </c>
      <c r="AP26" s="97">
        <f t="shared" si="22"/>
        <v>0</v>
      </c>
      <c r="AQ26" s="98">
        <f t="shared" si="23"/>
        <v>0</v>
      </c>
    </row>
    <row r="27" ht="15.75" customHeight="1">
      <c r="A27" s="49"/>
      <c r="B27" s="92"/>
      <c r="C27" s="49"/>
      <c r="D27" s="49"/>
      <c r="E27" s="49"/>
      <c r="F27" s="97"/>
      <c r="G27" s="49"/>
      <c r="H27" s="49"/>
      <c r="I27" s="49"/>
      <c r="J27" s="49"/>
      <c r="K27" s="49"/>
      <c r="L27" s="97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</row>
    <row r="28" ht="15.75" customHeight="1">
      <c r="A28" s="49"/>
      <c r="B28" s="92"/>
      <c r="C28" s="49"/>
      <c r="D28" s="49"/>
      <c r="E28" s="49"/>
      <c r="F28" s="97"/>
      <c r="G28" s="49"/>
      <c r="H28" s="49"/>
      <c r="I28" s="49"/>
      <c r="J28" s="49"/>
      <c r="K28" s="49"/>
      <c r="L28" s="9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</row>
    <row r="29" ht="15.75" customHeight="1">
      <c r="A29" s="49"/>
      <c r="B29" s="92"/>
      <c r="C29" s="49"/>
      <c r="D29" s="49"/>
      <c r="F29" s="97"/>
      <c r="G29" s="49"/>
      <c r="H29" s="49"/>
      <c r="I29" s="49"/>
      <c r="J29" s="49"/>
      <c r="K29" s="49"/>
      <c r="L29" s="97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</row>
    <row r="30" ht="15.75" customHeight="1">
      <c r="A30" s="49"/>
      <c r="B30" s="49"/>
      <c r="C30" s="49"/>
      <c r="D30" s="49"/>
      <c r="E30" s="49"/>
      <c r="F30" s="97"/>
      <c r="G30" s="49"/>
      <c r="H30" s="49"/>
      <c r="I30" s="49"/>
      <c r="J30" s="49"/>
      <c r="K30" s="49"/>
      <c r="L30" s="97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</row>
    <row r="31" ht="15.75" customHeight="1">
      <c r="A31" s="49"/>
      <c r="B31" s="49"/>
      <c r="C31" s="49"/>
      <c r="D31" s="49"/>
      <c r="E31" s="49"/>
      <c r="F31" s="97"/>
      <c r="G31" s="49"/>
      <c r="H31" s="49"/>
      <c r="I31" s="49"/>
      <c r="J31" s="49"/>
      <c r="K31" s="49"/>
      <c r="L31" s="97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</row>
    <row r="32" ht="15.75" customHeight="1">
      <c r="A32" s="49"/>
      <c r="B32" s="49"/>
      <c r="C32" s="49"/>
      <c r="D32" s="49"/>
      <c r="E32" s="49"/>
      <c r="F32" s="97"/>
      <c r="G32" s="49"/>
      <c r="H32" s="49"/>
      <c r="I32" s="49"/>
      <c r="J32" s="49"/>
      <c r="K32" s="49"/>
      <c r="L32" s="97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</row>
    <row r="33" ht="15.75" customHeight="1">
      <c r="A33" s="49"/>
      <c r="B33" s="49"/>
      <c r="C33" s="49"/>
      <c r="D33" s="49"/>
      <c r="E33" s="49"/>
      <c r="F33" s="97"/>
      <c r="G33" s="49"/>
      <c r="H33" s="49"/>
      <c r="I33" s="49"/>
      <c r="J33" s="49"/>
      <c r="K33" s="49"/>
      <c r="L33" s="97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</row>
    <row r="34" ht="15.75" customHeight="1">
      <c r="A34" s="49"/>
      <c r="B34" s="49"/>
      <c r="C34" s="49"/>
      <c r="D34" s="49"/>
      <c r="E34" s="49"/>
      <c r="F34" s="97"/>
      <c r="G34" s="49"/>
      <c r="H34" s="49"/>
      <c r="I34" s="49"/>
      <c r="J34" s="49"/>
      <c r="K34" s="49"/>
      <c r="L34" s="97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</row>
    <row r="35" ht="15.75" customHeight="1">
      <c r="A35" s="49"/>
      <c r="B35" s="49"/>
      <c r="C35" s="49"/>
      <c r="D35" s="49"/>
      <c r="E35" s="49"/>
      <c r="F35" s="97"/>
      <c r="G35" s="49"/>
      <c r="H35" s="49"/>
      <c r="I35" s="49"/>
      <c r="J35" s="49"/>
      <c r="K35" s="49"/>
      <c r="L35" s="97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</row>
    <row r="36" ht="15.75" customHeight="1">
      <c r="A36" s="49"/>
      <c r="B36" s="49"/>
      <c r="C36" s="49"/>
      <c r="D36" s="49"/>
      <c r="E36" s="49"/>
      <c r="F36" s="97"/>
      <c r="G36" s="49"/>
      <c r="H36" s="49"/>
      <c r="I36" s="49"/>
      <c r="J36" s="49"/>
      <c r="K36" s="49"/>
      <c r="L36" s="97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</row>
    <row r="37" ht="15.75" customHeight="1">
      <c r="A37" s="49"/>
      <c r="B37" s="49"/>
      <c r="C37" s="49"/>
      <c r="D37" s="49"/>
      <c r="E37" s="49"/>
      <c r="F37" s="97"/>
      <c r="G37" s="49"/>
      <c r="H37" s="49"/>
      <c r="I37" s="49"/>
      <c r="J37" s="49"/>
      <c r="K37" s="49"/>
      <c r="L37" s="97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</row>
    <row r="38" ht="15.75" customHeight="1">
      <c r="A38" s="49"/>
      <c r="B38" s="49"/>
      <c r="C38" s="49"/>
      <c r="D38" s="49"/>
      <c r="E38" s="49"/>
      <c r="F38" s="97"/>
      <c r="G38" s="49"/>
      <c r="H38" s="49"/>
      <c r="I38" s="49"/>
      <c r="J38" s="49"/>
      <c r="K38" s="49"/>
      <c r="L38" s="97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</row>
    <row r="39" ht="15.75" customHeight="1">
      <c r="A39" s="49"/>
      <c r="B39" s="49"/>
      <c r="C39" s="49"/>
      <c r="D39" s="49"/>
      <c r="E39" s="49"/>
      <c r="F39" s="97"/>
      <c r="G39" s="49"/>
      <c r="H39" s="49"/>
      <c r="I39" s="49"/>
      <c r="J39" s="49"/>
      <c r="K39" s="49"/>
      <c r="L39" s="97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</row>
    <row r="40" ht="15.75" customHeight="1">
      <c r="A40" s="49"/>
      <c r="B40" s="49"/>
      <c r="C40" s="49"/>
      <c r="D40" s="49"/>
      <c r="E40" s="49"/>
      <c r="F40" s="97"/>
      <c r="G40" s="49"/>
      <c r="H40" s="49"/>
      <c r="I40" s="49"/>
      <c r="J40" s="49"/>
      <c r="K40" s="49"/>
      <c r="L40" s="97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</row>
    <row r="41" ht="15.75" customHeight="1">
      <c r="A41" s="49"/>
      <c r="B41" s="49"/>
      <c r="C41" s="49"/>
      <c r="D41" s="49"/>
      <c r="E41" s="49"/>
      <c r="F41" s="97"/>
      <c r="G41" s="49"/>
      <c r="H41" s="49"/>
      <c r="I41" s="49"/>
      <c r="J41" s="49"/>
      <c r="K41" s="49"/>
      <c r="L41" s="97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</row>
    <row r="42" ht="15.75" customHeight="1">
      <c r="A42" s="49"/>
      <c r="B42" s="49"/>
      <c r="C42" s="49"/>
      <c r="D42" s="49"/>
      <c r="E42" s="49"/>
      <c r="F42" s="97"/>
      <c r="G42" s="49"/>
      <c r="H42" s="49"/>
      <c r="I42" s="49"/>
      <c r="J42" s="49"/>
      <c r="K42" s="49"/>
      <c r="L42" s="97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</row>
    <row r="43" ht="15.75" customHeight="1">
      <c r="A43" s="49"/>
      <c r="B43" s="49"/>
      <c r="C43" s="49"/>
      <c r="D43" s="49"/>
      <c r="E43" s="49"/>
      <c r="F43" s="97"/>
      <c r="G43" s="49"/>
      <c r="H43" s="49"/>
      <c r="I43" s="49"/>
      <c r="J43" s="49"/>
      <c r="K43" s="49"/>
      <c r="L43" s="97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</row>
    <row r="44" ht="15.75" customHeight="1">
      <c r="A44" s="49"/>
      <c r="B44" s="49"/>
      <c r="C44" s="49"/>
      <c r="D44" s="49"/>
      <c r="E44" s="49"/>
      <c r="F44" s="97"/>
      <c r="G44" s="49"/>
      <c r="H44" s="49"/>
      <c r="I44" s="49"/>
      <c r="J44" s="49"/>
      <c r="K44" s="49"/>
      <c r="L44" s="97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</row>
    <row r="45" ht="15.75" customHeight="1">
      <c r="A45" s="49"/>
      <c r="B45" s="49"/>
      <c r="C45" s="49"/>
      <c r="D45" s="49"/>
      <c r="E45" s="49"/>
      <c r="F45" s="97"/>
      <c r="G45" s="49"/>
      <c r="H45" s="49"/>
      <c r="I45" s="49"/>
      <c r="J45" s="49"/>
      <c r="K45" s="49"/>
      <c r="L45" s="97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</row>
    <row r="46" ht="15.75" customHeight="1">
      <c r="A46" s="49"/>
      <c r="B46" s="49"/>
      <c r="C46" s="49"/>
      <c r="D46" s="49"/>
      <c r="E46" s="49"/>
      <c r="F46" s="97"/>
      <c r="G46" s="49"/>
      <c r="H46" s="49"/>
      <c r="I46" s="49"/>
      <c r="J46" s="49"/>
      <c r="K46" s="49"/>
      <c r="L46" s="97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</row>
    <row r="47" ht="15.75" customHeight="1">
      <c r="A47" s="49"/>
      <c r="B47" s="49"/>
      <c r="C47" s="49"/>
      <c r="D47" s="49"/>
      <c r="E47" s="49"/>
      <c r="F47" s="97"/>
      <c r="G47" s="49"/>
      <c r="H47" s="49"/>
      <c r="I47" s="49"/>
      <c r="J47" s="49"/>
      <c r="K47" s="49"/>
      <c r="L47" s="97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</row>
    <row r="48" ht="15.75" customHeight="1">
      <c r="A48" s="49"/>
      <c r="B48" s="49"/>
      <c r="C48" s="49"/>
      <c r="D48" s="49"/>
      <c r="E48" s="49"/>
      <c r="F48" s="97"/>
      <c r="G48" s="49"/>
      <c r="H48" s="49"/>
      <c r="I48" s="49"/>
      <c r="J48" s="49"/>
      <c r="K48" s="49"/>
      <c r="L48" s="97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</row>
    <row r="49" ht="15.75" customHeight="1">
      <c r="A49" s="49"/>
      <c r="B49" s="49"/>
      <c r="C49" s="49"/>
      <c r="D49" s="49"/>
      <c r="E49" s="49"/>
      <c r="F49" s="97"/>
      <c r="G49" s="49"/>
      <c r="H49" s="49"/>
      <c r="I49" s="49"/>
      <c r="J49" s="49"/>
      <c r="K49" s="49"/>
      <c r="L49" s="97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</row>
    <row r="50" ht="15.75" customHeight="1">
      <c r="A50" s="49"/>
      <c r="B50" s="49"/>
      <c r="C50" s="49"/>
      <c r="D50" s="49"/>
      <c r="E50" s="49"/>
      <c r="F50" s="97"/>
      <c r="G50" s="49"/>
      <c r="H50" s="49"/>
      <c r="I50" s="49"/>
      <c r="J50" s="49"/>
      <c r="K50" s="49"/>
      <c r="L50" s="97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</row>
    <row r="51" ht="15.75" customHeight="1">
      <c r="A51" s="49"/>
      <c r="B51" s="49"/>
      <c r="C51" s="49"/>
      <c r="D51" s="49"/>
      <c r="E51" s="49"/>
      <c r="F51" s="97"/>
      <c r="G51" s="49"/>
      <c r="H51" s="49"/>
      <c r="I51" s="49"/>
      <c r="J51" s="49"/>
      <c r="K51" s="49"/>
      <c r="L51" s="97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</row>
    <row r="52" ht="15.75" customHeight="1">
      <c r="A52" s="49"/>
      <c r="B52" s="49"/>
      <c r="C52" s="49"/>
      <c r="D52" s="49"/>
      <c r="E52" s="49"/>
      <c r="F52" s="97"/>
      <c r="G52" s="49"/>
      <c r="H52" s="49"/>
      <c r="I52" s="49"/>
      <c r="J52" s="49"/>
      <c r="K52" s="49"/>
      <c r="L52" s="97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</row>
    <row r="53" ht="15.75" customHeight="1">
      <c r="A53" s="49"/>
      <c r="B53" s="49"/>
      <c r="C53" s="49"/>
      <c r="D53" s="49"/>
      <c r="E53" s="49"/>
      <c r="F53" s="97"/>
      <c r="G53" s="49"/>
      <c r="H53" s="49"/>
      <c r="I53" s="49"/>
      <c r="J53" s="49"/>
      <c r="K53" s="49"/>
      <c r="L53" s="97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</row>
    <row r="54" ht="15.75" customHeight="1">
      <c r="A54" s="49"/>
      <c r="B54" s="49"/>
      <c r="C54" s="49"/>
      <c r="D54" s="49"/>
      <c r="E54" s="49"/>
      <c r="F54" s="97"/>
      <c r="G54" s="49"/>
      <c r="H54" s="49"/>
      <c r="I54" s="49"/>
      <c r="J54" s="49"/>
      <c r="K54" s="49"/>
      <c r="L54" s="97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</row>
    <row r="55" ht="15.75" customHeight="1">
      <c r="A55" s="49"/>
      <c r="B55" s="49"/>
      <c r="C55" s="49"/>
      <c r="D55" s="49"/>
      <c r="E55" s="49"/>
      <c r="F55" s="97"/>
      <c r="G55" s="49"/>
      <c r="H55" s="49"/>
      <c r="I55" s="49"/>
      <c r="J55" s="49"/>
      <c r="K55" s="49"/>
      <c r="L55" s="97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</row>
    <row r="56" ht="15.75" customHeight="1">
      <c r="A56" s="49"/>
      <c r="B56" s="49"/>
      <c r="C56" s="49"/>
      <c r="D56" s="49"/>
      <c r="E56" s="49"/>
      <c r="F56" s="97"/>
      <c r="G56" s="49"/>
      <c r="H56" s="49"/>
      <c r="I56" s="49"/>
      <c r="J56" s="49"/>
      <c r="K56" s="49"/>
      <c r="L56" s="97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</row>
    <row r="57" ht="15.75" customHeight="1">
      <c r="A57" s="49"/>
      <c r="B57" s="49"/>
      <c r="C57" s="49"/>
      <c r="D57" s="49"/>
      <c r="E57" s="49"/>
      <c r="F57" s="97"/>
      <c r="G57" s="49"/>
      <c r="H57" s="49"/>
      <c r="I57" s="49"/>
      <c r="J57" s="49"/>
      <c r="K57" s="49"/>
      <c r="L57" s="97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</row>
    <row r="58" ht="15.75" customHeight="1">
      <c r="A58" s="49"/>
      <c r="B58" s="49"/>
      <c r="C58" s="49"/>
      <c r="D58" s="49"/>
      <c r="E58" s="49"/>
      <c r="F58" s="97"/>
      <c r="G58" s="49"/>
      <c r="H58" s="49"/>
      <c r="I58" s="49"/>
      <c r="J58" s="49"/>
      <c r="K58" s="49"/>
      <c r="L58" s="97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</row>
    <row r="59" ht="15.75" customHeight="1">
      <c r="A59" s="49"/>
      <c r="B59" s="49"/>
      <c r="C59" s="49"/>
      <c r="D59" s="49"/>
      <c r="E59" s="49"/>
      <c r="F59" s="97"/>
      <c r="G59" s="49"/>
      <c r="H59" s="49"/>
      <c r="I59" s="49"/>
      <c r="J59" s="49"/>
      <c r="K59" s="49"/>
      <c r="L59" s="97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</row>
    <row r="60" ht="15.75" customHeight="1">
      <c r="A60" s="49"/>
      <c r="B60" s="49"/>
      <c r="C60" s="49"/>
      <c r="D60" s="49"/>
      <c r="E60" s="49"/>
      <c r="F60" s="97"/>
      <c r="G60" s="49"/>
      <c r="H60" s="49"/>
      <c r="I60" s="49"/>
      <c r="J60" s="49"/>
      <c r="K60" s="49"/>
      <c r="L60" s="97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</row>
    <row r="61" ht="15.75" customHeight="1">
      <c r="A61" s="49"/>
      <c r="B61" s="49"/>
      <c r="C61" s="49"/>
      <c r="D61" s="49"/>
      <c r="E61" s="49"/>
      <c r="F61" s="97"/>
      <c r="G61" s="49"/>
      <c r="H61" s="49"/>
      <c r="I61" s="49"/>
      <c r="J61" s="49"/>
      <c r="K61" s="49"/>
      <c r="L61" s="97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</row>
    <row r="62" ht="15.75" customHeight="1">
      <c r="A62" s="49"/>
      <c r="B62" s="49"/>
      <c r="C62" s="49"/>
      <c r="D62" s="49"/>
      <c r="E62" s="49"/>
      <c r="F62" s="97"/>
      <c r="G62" s="49"/>
      <c r="H62" s="49"/>
      <c r="I62" s="49"/>
      <c r="J62" s="49"/>
      <c r="K62" s="49"/>
      <c r="L62" s="97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</row>
    <row r="63" ht="15.75" customHeight="1">
      <c r="A63" s="49"/>
      <c r="B63" s="49"/>
      <c r="C63" s="49"/>
      <c r="D63" s="49"/>
      <c r="E63" s="49"/>
      <c r="F63" s="97"/>
      <c r="G63" s="49"/>
      <c r="H63" s="49"/>
      <c r="I63" s="49"/>
      <c r="J63" s="49"/>
      <c r="K63" s="49"/>
      <c r="L63" s="97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</row>
    <row r="64" ht="15.75" customHeight="1">
      <c r="A64" s="49"/>
      <c r="B64" s="49"/>
      <c r="C64" s="49"/>
      <c r="D64" s="49"/>
      <c r="E64" s="49"/>
      <c r="F64" s="97"/>
      <c r="G64" s="49"/>
      <c r="H64" s="49"/>
      <c r="I64" s="49"/>
      <c r="J64" s="49"/>
      <c r="K64" s="49"/>
      <c r="L64" s="97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</row>
    <row r="65" ht="15.75" customHeight="1">
      <c r="A65" s="49"/>
      <c r="B65" s="49"/>
      <c r="C65" s="49"/>
      <c r="D65" s="49"/>
      <c r="E65" s="49"/>
      <c r="F65" s="97"/>
      <c r="G65" s="49"/>
      <c r="H65" s="49"/>
      <c r="I65" s="49"/>
      <c r="J65" s="49"/>
      <c r="K65" s="49"/>
      <c r="L65" s="97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</row>
    <row r="66" ht="15.75" customHeight="1">
      <c r="A66" s="49"/>
      <c r="B66" s="49"/>
      <c r="C66" s="49"/>
      <c r="D66" s="49"/>
      <c r="E66" s="49"/>
      <c r="F66" s="97"/>
      <c r="G66" s="49"/>
      <c r="H66" s="49"/>
      <c r="I66" s="49"/>
      <c r="J66" s="49"/>
      <c r="K66" s="49"/>
      <c r="L66" s="97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</row>
    <row r="67" ht="15.75" customHeight="1">
      <c r="A67" s="49"/>
      <c r="B67" s="49"/>
      <c r="C67" s="49"/>
      <c r="D67" s="49"/>
      <c r="E67" s="49"/>
      <c r="F67" s="97"/>
      <c r="G67" s="49"/>
      <c r="H67" s="49"/>
      <c r="I67" s="49"/>
      <c r="J67" s="49"/>
      <c r="K67" s="49"/>
      <c r="L67" s="97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</row>
    <row r="68" ht="15.75" customHeight="1">
      <c r="A68" s="49"/>
      <c r="B68" s="49"/>
      <c r="C68" s="49"/>
      <c r="D68" s="49"/>
      <c r="E68" s="49"/>
      <c r="F68" s="97"/>
      <c r="G68" s="49"/>
      <c r="H68" s="49"/>
      <c r="I68" s="49"/>
      <c r="J68" s="49"/>
      <c r="K68" s="49"/>
      <c r="L68" s="97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</row>
    <row r="69" ht="15.75" customHeight="1">
      <c r="A69" s="49"/>
      <c r="B69" s="49"/>
      <c r="C69" s="49"/>
      <c r="D69" s="49"/>
      <c r="E69" s="49"/>
      <c r="F69" s="97"/>
      <c r="G69" s="49"/>
      <c r="H69" s="49"/>
      <c r="I69" s="49"/>
      <c r="J69" s="49"/>
      <c r="K69" s="49"/>
      <c r="L69" s="97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</row>
    <row r="70" ht="15.75" customHeight="1">
      <c r="A70" s="49"/>
      <c r="B70" s="49"/>
      <c r="C70" s="49"/>
      <c r="D70" s="49"/>
      <c r="E70" s="49"/>
      <c r="F70" s="97"/>
      <c r="G70" s="49"/>
      <c r="H70" s="49"/>
      <c r="I70" s="49"/>
      <c r="J70" s="49"/>
      <c r="K70" s="49"/>
      <c r="L70" s="97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</row>
    <row r="71" ht="15.75" customHeight="1">
      <c r="A71" s="49"/>
      <c r="B71" s="49"/>
      <c r="C71" s="49"/>
      <c r="D71" s="49"/>
      <c r="E71" s="49"/>
      <c r="F71" s="97"/>
      <c r="G71" s="49"/>
      <c r="H71" s="49"/>
      <c r="I71" s="49"/>
      <c r="J71" s="49"/>
      <c r="K71" s="49"/>
      <c r="L71" s="97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</row>
    <row r="72" ht="15.75" customHeight="1">
      <c r="A72" s="49"/>
      <c r="B72" s="49"/>
      <c r="C72" s="49"/>
      <c r="D72" s="49"/>
      <c r="E72" s="49"/>
      <c r="F72" s="97"/>
      <c r="G72" s="49"/>
      <c r="H72" s="49"/>
      <c r="I72" s="49"/>
      <c r="J72" s="49"/>
      <c r="K72" s="49"/>
      <c r="L72" s="97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</row>
    <row r="73" ht="15.75" customHeight="1">
      <c r="A73" s="49"/>
      <c r="B73" s="49"/>
      <c r="C73" s="49"/>
      <c r="D73" s="49"/>
      <c r="E73" s="49"/>
      <c r="F73" s="97"/>
      <c r="G73" s="49"/>
      <c r="H73" s="49"/>
      <c r="I73" s="49"/>
      <c r="J73" s="49"/>
      <c r="K73" s="49"/>
      <c r="L73" s="97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</row>
    <row r="74" ht="15.75" customHeight="1">
      <c r="A74" s="49"/>
      <c r="B74" s="49"/>
      <c r="C74" s="49"/>
      <c r="D74" s="49"/>
      <c r="E74" s="49"/>
      <c r="F74" s="97"/>
      <c r="G74" s="49"/>
      <c r="H74" s="49"/>
      <c r="I74" s="49"/>
      <c r="J74" s="49"/>
      <c r="K74" s="49"/>
      <c r="L74" s="97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</row>
    <row r="75" ht="15.75" customHeight="1">
      <c r="A75" s="49"/>
      <c r="B75" s="49"/>
      <c r="C75" s="49"/>
      <c r="D75" s="49"/>
      <c r="E75" s="49"/>
      <c r="F75" s="97"/>
      <c r="G75" s="49"/>
      <c r="H75" s="49"/>
      <c r="I75" s="49"/>
      <c r="J75" s="49"/>
      <c r="K75" s="49"/>
      <c r="L75" s="97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</row>
    <row r="76" ht="15.75" customHeight="1">
      <c r="A76" s="49"/>
      <c r="B76" s="49"/>
      <c r="C76" s="49"/>
      <c r="D76" s="49"/>
      <c r="E76" s="49"/>
      <c r="F76" s="97"/>
      <c r="G76" s="49"/>
      <c r="H76" s="49"/>
      <c r="I76" s="49"/>
      <c r="J76" s="49"/>
      <c r="K76" s="49"/>
      <c r="L76" s="97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</row>
    <row r="77" ht="15.75" customHeight="1">
      <c r="A77" s="49"/>
      <c r="B77" s="49"/>
      <c r="C77" s="49"/>
      <c r="D77" s="49"/>
      <c r="E77" s="49"/>
      <c r="F77" s="97"/>
      <c r="G77" s="49"/>
      <c r="H77" s="49"/>
      <c r="I77" s="49"/>
      <c r="J77" s="49"/>
      <c r="K77" s="49"/>
      <c r="L77" s="97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</row>
    <row r="78" ht="15.75" customHeight="1">
      <c r="A78" s="49"/>
      <c r="B78" s="49"/>
      <c r="C78" s="49"/>
      <c r="D78" s="49"/>
      <c r="E78" s="49"/>
      <c r="F78" s="97"/>
      <c r="G78" s="49"/>
      <c r="H78" s="49"/>
      <c r="I78" s="49"/>
      <c r="J78" s="49"/>
      <c r="K78" s="49"/>
      <c r="L78" s="97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</row>
    <row r="79" ht="15.75" customHeight="1">
      <c r="A79" s="49"/>
      <c r="B79" s="49"/>
      <c r="C79" s="49"/>
      <c r="D79" s="49"/>
      <c r="E79" s="49"/>
      <c r="F79" s="97"/>
      <c r="G79" s="49"/>
      <c r="H79" s="49"/>
      <c r="I79" s="49"/>
      <c r="J79" s="49"/>
      <c r="K79" s="49"/>
      <c r="L79" s="97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</row>
    <row r="80" ht="15.75" customHeight="1">
      <c r="A80" s="49"/>
      <c r="B80" s="49"/>
      <c r="C80" s="49"/>
      <c r="D80" s="49"/>
      <c r="E80" s="49"/>
      <c r="F80" s="97"/>
      <c r="G80" s="49"/>
      <c r="H80" s="49"/>
      <c r="I80" s="49"/>
      <c r="J80" s="49"/>
      <c r="K80" s="49"/>
      <c r="L80" s="97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</row>
    <row r="81" ht="15.75" customHeight="1">
      <c r="A81" s="49"/>
      <c r="B81" s="49"/>
      <c r="C81" s="49"/>
      <c r="D81" s="49"/>
      <c r="E81" s="49"/>
      <c r="F81" s="97"/>
      <c r="G81" s="49"/>
      <c r="H81" s="49"/>
      <c r="I81" s="49"/>
      <c r="J81" s="49"/>
      <c r="K81" s="49"/>
      <c r="L81" s="97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</row>
    <row r="82" ht="15.75" customHeight="1">
      <c r="A82" s="49"/>
      <c r="B82" s="49"/>
      <c r="C82" s="49"/>
      <c r="D82" s="49"/>
      <c r="E82" s="49"/>
      <c r="F82" s="97"/>
      <c r="G82" s="49"/>
      <c r="H82" s="49"/>
      <c r="I82" s="49"/>
      <c r="J82" s="49"/>
      <c r="K82" s="49"/>
      <c r="L82" s="97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</row>
    <row r="83" ht="15.75" customHeight="1">
      <c r="A83" s="49"/>
      <c r="B83" s="49"/>
      <c r="C83" s="49"/>
      <c r="D83" s="49"/>
      <c r="E83" s="49"/>
      <c r="F83" s="97"/>
      <c r="G83" s="49"/>
      <c r="H83" s="49"/>
      <c r="I83" s="49"/>
      <c r="J83" s="49"/>
      <c r="K83" s="49"/>
      <c r="L83" s="97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</row>
    <row r="84" ht="15.75" customHeight="1">
      <c r="A84" s="49"/>
      <c r="B84" s="49"/>
      <c r="C84" s="49"/>
      <c r="D84" s="49"/>
      <c r="E84" s="49"/>
      <c r="F84" s="97"/>
      <c r="G84" s="49"/>
      <c r="H84" s="49"/>
      <c r="I84" s="49"/>
      <c r="J84" s="49"/>
      <c r="K84" s="49"/>
      <c r="L84" s="97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</row>
    <row r="85" ht="15.75" customHeight="1">
      <c r="A85" s="49"/>
      <c r="B85" s="49"/>
      <c r="C85" s="49"/>
      <c r="D85" s="49"/>
      <c r="E85" s="49"/>
      <c r="F85" s="97"/>
      <c r="G85" s="49"/>
      <c r="H85" s="49"/>
      <c r="I85" s="49"/>
      <c r="J85" s="49"/>
      <c r="K85" s="49"/>
      <c r="L85" s="97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</row>
    <row r="86" ht="15.75" customHeight="1">
      <c r="A86" s="49"/>
      <c r="B86" s="49"/>
      <c r="C86" s="49"/>
      <c r="D86" s="49"/>
      <c r="E86" s="49"/>
      <c r="F86" s="97"/>
      <c r="G86" s="49"/>
      <c r="H86" s="49"/>
      <c r="I86" s="49"/>
      <c r="J86" s="49"/>
      <c r="K86" s="49"/>
      <c r="L86" s="97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</row>
    <row r="87" ht="15.75" customHeight="1">
      <c r="A87" s="49"/>
      <c r="B87" s="49"/>
      <c r="C87" s="49"/>
      <c r="D87" s="49"/>
      <c r="E87" s="49"/>
      <c r="F87" s="97"/>
      <c r="G87" s="49"/>
      <c r="H87" s="49"/>
      <c r="I87" s="49"/>
      <c r="J87" s="49"/>
      <c r="K87" s="49"/>
      <c r="L87" s="97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</row>
    <row r="88" ht="15.75" customHeight="1">
      <c r="A88" s="49"/>
      <c r="B88" s="49"/>
      <c r="C88" s="49"/>
      <c r="D88" s="49"/>
      <c r="E88" s="49"/>
      <c r="F88" s="97"/>
      <c r="G88" s="49"/>
      <c r="H88" s="49"/>
      <c r="I88" s="49"/>
      <c r="J88" s="49"/>
      <c r="K88" s="49"/>
      <c r="L88" s="97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</row>
    <row r="89" ht="15.75" customHeight="1">
      <c r="A89" s="49"/>
      <c r="B89" s="49"/>
      <c r="C89" s="49"/>
      <c r="D89" s="49"/>
      <c r="E89" s="49"/>
      <c r="F89" s="97"/>
      <c r="G89" s="49"/>
      <c r="H89" s="49"/>
      <c r="I89" s="49"/>
      <c r="J89" s="49"/>
      <c r="K89" s="49"/>
      <c r="L89" s="97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</row>
    <row r="90" ht="15.75" customHeight="1">
      <c r="A90" s="49"/>
      <c r="B90" s="49"/>
      <c r="C90" s="49"/>
      <c r="D90" s="49"/>
      <c r="E90" s="49"/>
      <c r="F90" s="97"/>
      <c r="G90" s="49"/>
      <c r="H90" s="49"/>
      <c r="I90" s="49"/>
      <c r="J90" s="49"/>
      <c r="K90" s="49"/>
      <c r="L90" s="97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</row>
    <row r="91" ht="15.75" customHeight="1">
      <c r="A91" s="49"/>
      <c r="B91" s="49"/>
      <c r="C91" s="49"/>
      <c r="D91" s="49"/>
      <c r="E91" s="49"/>
      <c r="F91" s="97"/>
      <c r="G91" s="49"/>
      <c r="H91" s="49"/>
      <c r="I91" s="49"/>
      <c r="J91" s="49"/>
      <c r="K91" s="49"/>
      <c r="L91" s="97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</row>
    <row r="92" ht="15.75" customHeight="1">
      <c r="A92" s="49"/>
      <c r="B92" s="49"/>
      <c r="C92" s="49"/>
      <c r="D92" s="49"/>
      <c r="E92" s="49"/>
      <c r="F92" s="97"/>
      <c r="G92" s="49"/>
      <c r="H92" s="49"/>
      <c r="I92" s="49"/>
      <c r="J92" s="49"/>
      <c r="K92" s="49"/>
      <c r="L92" s="97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</row>
    <row r="93" ht="15.75" customHeight="1">
      <c r="A93" s="49"/>
      <c r="B93" s="49"/>
      <c r="C93" s="49"/>
      <c r="D93" s="49"/>
      <c r="E93" s="49"/>
      <c r="F93" s="97"/>
      <c r="G93" s="49"/>
      <c r="H93" s="49"/>
      <c r="I93" s="49"/>
      <c r="J93" s="49"/>
      <c r="K93" s="49"/>
      <c r="L93" s="97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</row>
    <row r="94" ht="15.75" customHeight="1">
      <c r="A94" s="49"/>
      <c r="B94" s="49"/>
      <c r="C94" s="49"/>
      <c r="D94" s="49"/>
      <c r="E94" s="49"/>
      <c r="F94" s="97"/>
      <c r="G94" s="49"/>
      <c r="H94" s="49"/>
      <c r="I94" s="49"/>
      <c r="J94" s="49"/>
      <c r="K94" s="49"/>
      <c r="L94" s="97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</row>
    <row r="95" ht="15.75" customHeight="1">
      <c r="A95" s="49"/>
      <c r="B95" s="49"/>
      <c r="C95" s="49"/>
      <c r="D95" s="49"/>
      <c r="E95" s="49"/>
      <c r="F95" s="97"/>
      <c r="G95" s="49"/>
      <c r="H95" s="49"/>
      <c r="I95" s="49"/>
      <c r="J95" s="49"/>
      <c r="K95" s="49"/>
      <c r="L95" s="97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</row>
    <row r="96" ht="15.75" customHeight="1">
      <c r="A96" s="49"/>
      <c r="B96" s="49"/>
      <c r="C96" s="49"/>
      <c r="D96" s="49"/>
      <c r="E96" s="49"/>
      <c r="F96" s="97"/>
      <c r="G96" s="49"/>
      <c r="H96" s="49"/>
      <c r="I96" s="49"/>
      <c r="J96" s="49"/>
      <c r="K96" s="49"/>
      <c r="L96" s="97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</row>
    <row r="97" ht="15.75" customHeight="1">
      <c r="A97" s="49"/>
      <c r="B97" s="49"/>
      <c r="C97" s="49"/>
      <c r="D97" s="49"/>
      <c r="E97" s="49"/>
      <c r="F97" s="97"/>
      <c r="G97" s="49"/>
      <c r="H97" s="49"/>
      <c r="I97" s="49"/>
      <c r="J97" s="49"/>
      <c r="K97" s="49"/>
      <c r="L97" s="97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</row>
    <row r="98" ht="15.75" customHeight="1">
      <c r="A98" s="49"/>
      <c r="B98" s="49"/>
      <c r="C98" s="49"/>
      <c r="D98" s="49"/>
      <c r="E98" s="49"/>
      <c r="F98" s="97"/>
      <c r="G98" s="49"/>
      <c r="H98" s="49"/>
      <c r="I98" s="49"/>
      <c r="J98" s="49"/>
      <c r="K98" s="49"/>
      <c r="L98" s="97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</row>
    <row r="99" ht="15.75" customHeight="1">
      <c r="A99" s="49"/>
      <c r="B99" s="49"/>
      <c r="C99" s="49"/>
      <c r="D99" s="49"/>
      <c r="E99" s="49"/>
      <c r="F99" s="97"/>
      <c r="G99" s="49"/>
      <c r="H99" s="49"/>
      <c r="I99" s="49"/>
      <c r="J99" s="49"/>
      <c r="K99" s="49"/>
      <c r="L99" s="97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</row>
    <row r="100" ht="15.75" customHeight="1">
      <c r="A100" s="49"/>
      <c r="B100" s="49"/>
      <c r="C100" s="49"/>
      <c r="D100" s="49"/>
      <c r="E100" s="49"/>
      <c r="F100" s="97"/>
      <c r="G100" s="49"/>
      <c r="H100" s="49"/>
      <c r="I100" s="49"/>
      <c r="J100" s="49"/>
      <c r="K100" s="49"/>
      <c r="L100" s="97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</row>
    <row r="101" ht="15.75" customHeight="1">
      <c r="A101" s="49"/>
      <c r="B101" s="49"/>
      <c r="C101" s="49"/>
      <c r="D101" s="49"/>
      <c r="E101" s="49"/>
      <c r="F101" s="97"/>
      <c r="G101" s="49"/>
      <c r="H101" s="49"/>
      <c r="I101" s="49"/>
      <c r="J101" s="49"/>
      <c r="K101" s="49"/>
      <c r="L101" s="97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</row>
    <row r="102" ht="15.75" customHeight="1">
      <c r="A102" s="49"/>
      <c r="B102" s="49"/>
      <c r="C102" s="49"/>
      <c r="D102" s="49"/>
      <c r="E102" s="49"/>
      <c r="F102" s="97"/>
      <c r="G102" s="49"/>
      <c r="H102" s="49"/>
      <c r="I102" s="49"/>
      <c r="J102" s="49"/>
      <c r="K102" s="49"/>
      <c r="L102" s="97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</row>
    <row r="103" ht="15.75" customHeight="1">
      <c r="A103" s="49"/>
      <c r="B103" s="49"/>
      <c r="C103" s="49"/>
      <c r="D103" s="49"/>
      <c r="E103" s="49"/>
      <c r="F103" s="97"/>
      <c r="G103" s="49"/>
      <c r="H103" s="49"/>
      <c r="I103" s="49"/>
      <c r="J103" s="49"/>
      <c r="K103" s="49"/>
      <c r="L103" s="97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</row>
    <row r="104" ht="15.75" customHeight="1">
      <c r="A104" s="49"/>
      <c r="B104" s="49"/>
      <c r="C104" s="49"/>
      <c r="D104" s="49"/>
      <c r="E104" s="49"/>
      <c r="F104" s="97"/>
      <c r="G104" s="49"/>
      <c r="H104" s="49"/>
      <c r="I104" s="49"/>
      <c r="J104" s="49"/>
      <c r="K104" s="49"/>
      <c r="L104" s="97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</row>
    <row r="105" ht="15.75" customHeight="1">
      <c r="A105" s="49"/>
      <c r="B105" s="49"/>
      <c r="C105" s="49"/>
      <c r="D105" s="49"/>
      <c r="E105" s="49"/>
      <c r="F105" s="97"/>
      <c r="G105" s="49"/>
      <c r="H105" s="49"/>
      <c r="I105" s="49"/>
      <c r="J105" s="49"/>
      <c r="K105" s="49"/>
      <c r="L105" s="97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</row>
    <row r="106" ht="15.75" customHeight="1">
      <c r="A106" s="49"/>
      <c r="B106" s="49"/>
      <c r="C106" s="49"/>
      <c r="D106" s="49"/>
      <c r="E106" s="49"/>
      <c r="F106" s="97"/>
      <c r="G106" s="49"/>
      <c r="H106" s="49"/>
      <c r="I106" s="49"/>
      <c r="J106" s="49"/>
      <c r="K106" s="49"/>
      <c r="L106" s="97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</row>
    <row r="107" ht="15.75" customHeight="1">
      <c r="A107" s="49"/>
      <c r="B107" s="49"/>
      <c r="C107" s="49"/>
      <c r="D107" s="49"/>
      <c r="E107" s="49"/>
      <c r="F107" s="97"/>
      <c r="G107" s="49"/>
      <c r="H107" s="49"/>
      <c r="I107" s="49"/>
      <c r="J107" s="49"/>
      <c r="K107" s="49"/>
      <c r="L107" s="97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</row>
    <row r="108" ht="15.75" customHeight="1">
      <c r="A108" s="49"/>
      <c r="B108" s="49"/>
      <c r="C108" s="49"/>
      <c r="D108" s="49"/>
      <c r="E108" s="49"/>
      <c r="F108" s="97"/>
      <c r="G108" s="49"/>
      <c r="H108" s="49"/>
      <c r="I108" s="49"/>
      <c r="J108" s="49"/>
      <c r="K108" s="49"/>
      <c r="L108" s="97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</row>
    <row r="109" ht="15.75" customHeight="1">
      <c r="A109" s="49"/>
      <c r="B109" s="49"/>
      <c r="C109" s="49"/>
      <c r="D109" s="49"/>
      <c r="E109" s="49"/>
      <c r="F109" s="97"/>
      <c r="G109" s="49"/>
      <c r="H109" s="49"/>
      <c r="I109" s="49"/>
      <c r="J109" s="49"/>
      <c r="K109" s="49"/>
      <c r="L109" s="97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</row>
    <row r="110" ht="15.75" customHeight="1">
      <c r="A110" s="49"/>
      <c r="B110" s="49"/>
      <c r="C110" s="49"/>
      <c r="D110" s="49"/>
      <c r="E110" s="49"/>
      <c r="F110" s="97"/>
      <c r="G110" s="49"/>
      <c r="H110" s="49"/>
      <c r="I110" s="49"/>
      <c r="J110" s="49"/>
      <c r="K110" s="49"/>
      <c r="L110" s="97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</row>
    <row r="111" ht="15.75" customHeight="1">
      <c r="A111" s="49"/>
      <c r="B111" s="49"/>
      <c r="C111" s="49"/>
      <c r="D111" s="49"/>
      <c r="E111" s="49"/>
      <c r="F111" s="97"/>
      <c r="G111" s="49"/>
      <c r="H111" s="49"/>
      <c r="I111" s="49"/>
      <c r="J111" s="49"/>
      <c r="K111" s="49"/>
      <c r="L111" s="97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</row>
    <row r="112" ht="15.75" customHeight="1">
      <c r="A112" s="49"/>
      <c r="B112" s="49"/>
      <c r="C112" s="49"/>
      <c r="D112" s="49"/>
      <c r="E112" s="49"/>
      <c r="F112" s="97"/>
      <c r="G112" s="49"/>
      <c r="H112" s="49"/>
      <c r="I112" s="49"/>
      <c r="J112" s="49"/>
      <c r="K112" s="49"/>
      <c r="L112" s="97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</row>
    <row r="113" ht="15.75" customHeight="1">
      <c r="A113" s="49"/>
      <c r="B113" s="49"/>
      <c r="C113" s="49"/>
      <c r="D113" s="49"/>
      <c r="E113" s="49"/>
      <c r="F113" s="97"/>
      <c r="G113" s="49"/>
      <c r="H113" s="49"/>
      <c r="I113" s="49"/>
      <c r="J113" s="49"/>
      <c r="K113" s="49"/>
      <c r="L113" s="97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</row>
    <row r="114" ht="15.75" customHeight="1">
      <c r="A114" s="49"/>
      <c r="B114" s="49"/>
      <c r="C114" s="49"/>
      <c r="D114" s="49"/>
      <c r="E114" s="49"/>
      <c r="F114" s="97"/>
      <c r="G114" s="49"/>
      <c r="H114" s="49"/>
      <c r="I114" s="49"/>
      <c r="J114" s="49"/>
      <c r="K114" s="49"/>
      <c r="L114" s="97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</row>
    <row r="115" ht="15.75" customHeight="1">
      <c r="A115" s="49"/>
      <c r="B115" s="49"/>
      <c r="C115" s="49"/>
      <c r="D115" s="49"/>
      <c r="E115" s="49"/>
      <c r="F115" s="97"/>
      <c r="G115" s="49"/>
      <c r="H115" s="49"/>
      <c r="I115" s="49"/>
      <c r="J115" s="49"/>
      <c r="K115" s="49"/>
      <c r="L115" s="97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</row>
    <row r="116" ht="15.75" customHeight="1">
      <c r="A116" s="49"/>
      <c r="B116" s="49"/>
      <c r="C116" s="49"/>
      <c r="D116" s="49"/>
      <c r="E116" s="49"/>
      <c r="F116" s="97"/>
      <c r="G116" s="49"/>
      <c r="H116" s="49"/>
      <c r="I116" s="49"/>
      <c r="J116" s="49"/>
      <c r="K116" s="49"/>
      <c r="L116" s="97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</row>
    <row r="117" ht="15.75" customHeight="1">
      <c r="A117" s="49"/>
      <c r="B117" s="49"/>
      <c r="C117" s="49"/>
      <c r="D117" s="49"/>
      <c r="E117" s="49"/>
      <c r="F117" s="97"/>
      <c r="G117" s="49"/>
      <c r="H117" s="49"/>
      <c r="I117" s="49"/>
      <c r="J117" s="49"/>
      <c r="K117" s="49"/>
      <c r="L117" s="97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</row>
    <row r="118" ht="15.75" customHeight="1">
      <c r="A118" s="49"/>
      <c r="B118" s="49"/>
      <c r="C118" s="49"/>
      <c r="D118" s="49"/>
      <c r="E118" s="49"/>
      <c r="F118" s="97"/>
      <c r="G118" s="49"/>
      <c r="H118" s="49"/>
      <c r="I118" s="49"/>
      <c r="J118" s="49"/>
      <c r="K118" s="49"/>
      <c r="L118" s="97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</row>
    <row r="119" ht="15.75" customHeight="1">
      <c r="A119" s="49"/>
      <c r="B119" s="49"/>
      <c r="C119" s="49"/>
      <c r="D119" s="49"/>
      <c r="E119" s="49"/>
      <c r="F119" s="97"/>
      <c r="G119" s="49"/>
      <c r="H119" s="49"/>
      <c r="I119" s="49"/>
      <c r="J119" s="49"/>
      <c r="K119" s="49"/>
      <c r="L119" s="97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</row>
    <row r="120" ht="15.75" customHeight="1">
      <c r="A120" s="49"/>
      <c r="B120" s="49"/>
      <c r="C120" s="49"/>
      <c r="D120" s="49"/>
      <c r="E120" s="49"/>
      <c r="F120" s="97"/>
      <c r="G120" s="49"/>
      <c r="H120" s="49"/>
      <c r="I120" s="49"/>
      <c r="J120" s="49"/>
      <c r="K120" s="49"/>
      <c r="L120" s="97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</row>
    <row r="121" ht="15.75" customHeight="1">
      <c r="A121" s="49"/>
      <c r="B121" s="49"/>
      <c r="C121" s="49"/>
      <c r="D121" s="49"/>
      <c r="E121" s="49"/>
      <c r="F121" s="97"/>
      <c r="G121" s="49"/>
      <c r="H121" s="49"/>
      <c r="I121" s="49"/>
      <c r="J121" s="49"/>
      <c r="K121" s="49"/>
      <c r="L121" s="97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</row>
    <row r="122" ht="15.75" customHeight="1">
      <c r="A122" s="49"/>
      <c r="B122" s="49"/>
      <c r="C122" s="49"/>
      <c r="D122" s="49"/>
      <c r="E122" s="49"/>
      <c r="F122" s="97"/>
      <c r="G122" s="49"/>
      <c r="H122" s="49"/>
      <c r="I122" s="49"/>
      <c r="J122" s="49"/>
      <c r="K122" s="49"/>
      <c r="L122" s="97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</row>
    <row r="123" ht="15.75" customHeight="1">
      <c r="A123" s="49"/>
      <c r="B123" s="49"/>
      <c r="C123" s="49"/>
      <c r="D123" s="49"/>
      <c r="E123" s="49"/>
      <c r="F123" s="97"/>
      <c r="G123" s="49"/>
      <c r="H123" s="49"/>
      <c r="I123" s="49"/>
      <c r="J123" s="49"/>
      <c r="K123" s="49"/>
      <c r="L123" s="97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</row>
    <row r="124" ht="15.75" customHeight="1">
      <c r="A124" s="49"/>
      <c r="B124" s="49"/>
      <c r="C124" s="49"/>
      <c r="D124" s="49"/>
      <c r="E124" s="49"/>
      <c r="F124" s="97"/>
      <c r="G124" s="49"/>
      <c r="H124" s="49"/>
      <c r="I124" s="49"/>
      <c r="J124" s="49"/>
      <c r="K124" s="49"/>
      <c r="L124" s="97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</row>
    <row r="125" ht="15.75" customHeight="1">
      <c r="A125" s="49"/>
      <c r="B125" s="49"/>
      <c r="C125" s="49"/>
      <c r="D125" s="49"/>
      <c r="E125" s="49"/>
      <c r="F125" s="97"/>
      <c r="G125" s="49"/>
      <c r="H125" s="49"/>
      <c r="I125" s="49"/>
      <c r="J125" s="49"/>
      <c r="K125" s="49"/>
      <c r="L125" s="97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</row>
    <row r="126" ht="15.75" customHeight="1">
      <c r="A126" s="49"/>
      <c r="B126" s="49"/>
      <c r="C126" s="49"/>
      <c r="D126" s="49"/>
      <c r="E126" s="49"/>
      <c r="F126" s="97"/>
      <c r="G126" s="49"/>
      <c r="H126" s="49"/>
      <c r="I126" s="49"/>
      <c r="J126" s="49"/>
      <c r="K126" s="49"/>
      <c r="L126" s="97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</row>
    <row r="127" ht="15.75" customHeight="1">
      <c r="A127" s="49"/>
      <c r="B127" s="49"/>
      <c r="C127" s="49"/>
      <c r="D127" s="49"/>
      <c r="E127" s="49"/>
      <c r="F127" s="97"/>
      <c r="G127" s="49"/>
      <c r="H127" s="49"/>
      <c r="I127" s="49"/>
      <c r="J127" s="49"/>
      <c r="K127" s="49"/>
      <c r="L127" s="97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</row>
    <row r="128" ht="15.75" customHeight="1">
      <c r="A128" s="49"/>
      <c r="B128" s="49"/>
      <c r="C128" s="49"/>
      <c r="D128" s="49"/>
      <c r="E128" s="49"/>
      <c r="F128" s="97"/>
      <c r="G128" s="49"/>
      <c r="H128" s="49"/>
      <c r="I128" s="49"/>
      <c r="J128" s="49"/>
      <c r="K128" s="49"/>
      <c r="L128" s="97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</row>
    <row r="129" ht="15.75" customHeight="1">
      <c r="A129" s="49"/>
      <c r="B129" s="49"/>
      <c r="C129" s="49"/>
      <c r="D129" s="49"/>
      <c r="E129" s="49"/>
      <c r="F129" s="97"/>
      <c r="G129" s="49"/>
      <c r="H129" s="49"/>
      <c r="I129" s="49"/>
      <c r="J129" s="49"/>
      <c r="K129" s="49"/>
      <c r="L129" s="97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</row>
    <row r="130" ht="15.75" customHeight="1">
      <c r="A130" s="49"/>
      <c r="B130" s="49"/>
      <c r="C130" s="49"/>
      <c r="D130" s="49"/>
      <c r="E130" s="49"/>
      <c r="F130" s="97"/>
      <c r="G130" s="49"/>
      <c r="H130" s="49"/>
      <c r="I130" s="49"/>
      <c r="J130" s="49"/>
      <c r="K130" s="49"/>
      <c r="L130" s="97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</row>
    <row r="131" ht="15.75" customHeight="1">
      <c r="A131" s="49"/>
      <c r="B131" s="49"/>
      <c r="C131" s="49"/>
      <c r="D131" s="49"/>
      <c r="E131" s="49"/>
      <c r="F131" s="97"/>
      <c r="G131" s="49"/>
      <c r="H131" s="49"/>
      <c r="I131" s="49"/>
      <c r="J131" s="49"/>
      <c r="K131" s="49"/>
      <c r="L131" s="97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</row>
    <row r="132" ht="15.75" customHeight="1">
      <c r="A132" s="49"/>
      <c r="B132" s="49"/>
      <c r="C132" s="49"/>
      <c r="D132" s="49"/>
      <c r="E132" s="49"/>
      <c r="F132" s="97"/>
      <c r="G132" s="49"/>
      <c r="H132" s="49"/>
      <c r="I132" s="49"/>
      <c r="J132" s="49"/>
      <c r="K132" s="49"/>
      <c r="L132" s="97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</row>
    <row r="133" ht="15.75" customHeight="1">
      <c r="A133" s="49"/>
      <c r="B133" s="49"/>
      <c r="C133" s="49"/>
      <c r="D133" s="49"/>
      <c r="E133" s="49"/>
      <c r="F133" s="97"/>
      <c r="G133" s="49"/>
      <c r="H133" s="49"/>
      <c r="I133" s="49"/>
      <c r="J133" s="49"/>
      <c r="K133" s="49"/>
      <c r="L133" s="97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</row>
    <row r="134" ht="15.75" customHeight="1">
      <c r="A134" s="49"/>
      <c r="B134" s="49"/>
      <c r="C134" s="49"/>
      <c r="D134" s="49"/>
      <c r="E134" s="49"/>
      <c r="F134" s="97"/>
      <c r="G134" s="49"/>
      <c r="H134" s="49"/>
      <c r="I134" s="49"/>
      <c r="J134" s="49"/>
      <c r="K134" s="49"/>
      <c r="L134" s="97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</row>
    <row r="135" ht="15.75" customHeight="1">
      <c r="A135" s="49"/>
      <c r="B135" s="49"/>
      <c r="C135" s="49"/>
      <c r="D135" s="49"/>
      <c r="E135" s="49"/>
      <c r="F135" s="97"/>
      <c r="G135" s="49"/>
      <c r="H135" s="49"/>
      <c r="I135" s="49"/>
      <c r="J135" s="49"/>
      <c r="K135" s="49"/>
      <c r="L135" s="97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</row>
    <row r="136" ht="15.75" customHeight="1">
      <c r="A136" s="49"/>
      <c r="B136" s="49"/>
      <c r="C136" s="49"/>
      <c r="D136" s="49"/>
      <c r="E136" s="49"/>
      <c r="F136" s="97"/>
      <c r="G136" s="49"/>
      <c r="H136" s="49"/>
      <c r="I136" s="49"/>
      <c r="J136" s="49"/>
      <c r="K136" s="49"/>
      <c r="L136" s="97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</row>
    <row r="137" ht="15.75" customHeight="1">
      <c r="A137" s="49"/>
      <c r="B137" s="49"/>
      <c r="C137" s="49"/>
      <c r="D137" s="49"/>
      <c r="E137" s="49"/>
      <c r="F137" s="97"/>
      <c r="G137" s="49"/>
      <c r="H137" s="49"/>
      <c r="I137" s="49"/>
      <c r="J137" s="49"/>
      <c r="K137" s="49"/>
      <c r="L137" s="97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</row>
    <row r="138" ht="15.75" customHeight="1">
      <c r="A138" s="49"/>
      <c r="B138" s="49"/>
      <c r="C138" s="49"/>
      <c r="D138" s="49"/>
      <c r="E138" s="49"/>
      <c r="F138" s="97"/>
      <c r="G138" s="49"/>
      <c r="H138" s="49"/>
      <c r="I138" s="49"/>
      <c r="J138" s="49"/>
      <c r="K138" s="49"/>
      <c r="L138" s="97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</row>
    <row r="139" ht="15.75" customHeight="1">
      <c r="A139" s="49"/>
      <c r="B139" s="49"/>
      <c r="C139" s="49"/>
      <c r="D139" s="49"/>
      <c r="E139" s="49"/>
      <c r="F139" s="97"/>
      <c r="G139" s="49"/>
      <c r="H139" s="49"/>
      <c r="I139" s="49"/>
      <c r="J139" s="49"/>
      <c r="K139" s="49"/>
      <c r="L139" s="97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</row>
    <row r="140" ht="15.75" customHeight="1">
      <c r="A140" s="49"/>
      <c r="B140" s="49"/>
      <c r="C140" s="49"/>
      <c r="D140" s="49"/>
      <c r="E140" s="49"/>
      <c r="F140" s="97"/>
      <c r="G140" s="49"/>
      <c r="H140" s="49"/>
      <c r="I140" s="49"/>
      <c r="J140" s="49"/>
      <c r="K140" s="49"/>
      <c r="L140" s="97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</row>
    <row r="141" ht="15.75" customHeight="1">
      <c r="A141" s="49"/>
      <c r="B141" s="49"/>
      <c r="C141" s="49"/>
      <c r="D141" s="49"/>
      <c r="E141" s="49"/>
      <c r="F141" s="97"/>
      <c r="G141" s="49"/>
      <c r="H141" s="49"/>
      <c r="I141" s="49"/>
      <c r="J141" s="49"/>
      <c r="K141" s="49"/>
      <c r="L141" s="97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</row>
    <row r="142" ht="15.75" customHeight="1">
      <c r="A142" s="49"/>
      <c r="B142" s="49"/>
      <c r="C142" s="49"/>
      <c r="D142" s="49"/>
      <c r="E142" s="49"/>
      <c r="F142" s="97"/>
      <c r="G142" s="49"/>
      <c r="H142" s="49"/>
      <c r="I142" s="49"/>
      <c r="J142" s="49"/>
      <c r="K142" s="49"/>
      <c r="L142" s="97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</row>
    <row r="143" ht="15.75" customHeight="1">
      <c r="A143" s="49"/>
      <c r="B143" s="49"/>
      <c r="C143" s="49"/>
      <c r="D143" s="49"/>
      <c r="E143" s="49"/>
      <c r="F143" s="97"/>
      <c r="G143" s="49"/>
      <c r="H143" s="49"/>
      <c r="I143" s="49"/>
      <c r="J143" s="49"/>
      <c r="K143" s="49"/>
      <c r="L143" s="97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</row>
    <row r="144" ht="15.75" customHeight="1">
      <c r="A144" s="49"/>
      <c r="B144" s="49"/>
      <c r="C144" s="49"/>
      <c r="D144" s="49"/>
      <c r="E144" s="49"/>
      <c r="F144" s="97"/>
      <c r="G144" s="49"/>
      <c r="H144" s="49"/>
      <c r="I144" s="49"/>
      <c r="J144" s="49"/>
      <c r="K144" s="49"/>
      <c r="L144" s="97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</row>
    <row r="145" ht="15.75" customHeight="1">
      <c r="A145" s="49"/>
      <c r="B145" s="49"/>
      <c r="C145" s="49"/>
      <c r="D145" s="49"/>
      <c r="E145" s="49"/>
      <c r="F145" s="97"/>
      <c r="G145" s="49"/>
      <c r="H145" s="49"/>
      <c r="I145" s="49"/>
      <c r="J145" s="49"/>
      <c r="K145" s="49"/>
      <c r="L145" s="97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</row>
    <row r="146" ht="15.75" customHeight="1">
      <c r="A146" s="49"/>
      <c r="B146" s="49"/>
      <c r="C146" s="49"/>
      <c r="D146" s="49"/>
      <c r="E146" s="49"/>
      <c r="F146" s="97"/>
      <c r="G146" s="49"/>
      <c r="H146" s="49"/>
      <c r="I146" s="49"/>
      <c r="J146" s="49"/>
      <c r="K146" s="49"/>
      <c r="L146" s="97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</row>
    <row r="147" ht="15.75" customHeight="1">
      <c r="A147" s="49"/>
      <c r="B147" s="49"/>
      <c r="C147" s="49"/>
      <c r="D147" s="49"/>
      <c r="E147" s="49"/>
      <c r="F147" s="97"/>
      <c r="G147" s="49"/>
      <c r="H147" s="49"/>
      <c r="I147" s="49"/>
      <c r="J147" s="49"/>
      <c r="K147" s="49"/>
      <c r="L147" s="97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</row>
    <row r="148" ht="15.75" customHeight="1">
      <c r="A148" s="49"/>
      <c r="B148" s="49"/>
      <c r="C148" s="49"/>
      <c r="D148" s="49"/>
      <c r="E148" s="49"/>
      <c r="F148" s="97"/>
      <c r="G148" s="49"/>
      <c r="H148" s="49"/>
      <c r="I148" s="49"/>
      <c r="J148" s="49"/>
      <c r="K148" s="49"/>
      <c r="L148" s="97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</row>
    <row r="149" ht="15.75" customHeight="1">
      <c r="A149" s="49"/>
      <c r="B149" s="49"/>
      <c r="C149" s="49"/>
      <c r="D149" s="49"/>
      <c r="E149" s="49"/>
      <c r="F149" s="97"/>
      <c r="G149" s="49"/>
      <c r="H149" s="49"/>
      <c r="I149" s="49"/>
      <c r="J149" s="49"/>
      <c r="K149" s="49"/>
      <c r="L149" s="97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</row>
    <row r="150" ht="15.75" customHeight="1">
      <c r="A150" s="49"/>
      <c r="B150" s="49"/>
      <c r="C150" s="49"/>
      <c r="D150" s="49"/>
      <c r="E150" s="49"/>
      <c r="F150" s="97"/>
      <c r="G150" s="49"/>
      <c r="H150" s="49"/>
      <c r="I150" s="49"/>
      <c r="J150" s="49"/>
      <c r="K150" s="49"/>
      <c r="L150" s="97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</row>
    <row r="151" ht="15.75" customHeight="1">
      <c r="A151" s="49"/>
      <c r="B151" s="49"/>
      <c r="C151" s="49"/>
      <c r="D151" s="49"/>
      <c r="E151" s="49"/>
      <c r="F151" s="97"/>
      <c r="G151" s="49"/>
      <c r="H151" s="49"/>
      <c r="I151" s="49"/>
      <c r="J151" s="49"/>
      <c r="K151" s="49"/>
      <c r="L151" s="97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</row>
    <row r="152" ht="15.75" customHeight="1">
      <c r="A152" s="49"/>
      <c r="B152" s="49"/>
      <c r="C152" s="49"/>
      <c r="D152" s="49"/>
      <c r="E152" s="49"/>
      <c r="F152" s="97"/>
      <c r="G152" s="49"/>
      <c r="H152" s="49"/>
      <c r="I152" s="49"/>
      <c r="J152" s="49"/>
      <c r="K152" s="49"/>
      <c r="L152" s="97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</row>
    <row r="153" ht="15.75" customHeight="1">
      <c r="A153" s="49"/>
      <c r="B153" s="49"/>
      <c r="C153" s="49"/>
      <c r="D153" s="49"/>
      <c r="E153" s="49"/>
      <c r="F153" s="97"/>
      <c r="G153" s="49"/>
      <c r="H153" s="49"/>
      <c r="I153" s="49"/>
      <c r="J153" s="49"/>
      <c r="K153" s="49"/>
      <c r="L153" s="97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</row>
    <row r="154" ht="15.75" customHeight="1">
      <c r="A154" s="49"/>
      <c r="B154" s="49"/>
      <c r="C154" s="49"/>
      <c r="D154" s="49"/>
      <c r="E154" s="49"/>
      <c r="F154" s="97"/>
      <c r="G154" s="49"/>
      <c r="H154" s="49"/>
      <c r="I154" s="49"/>
      <c r="J154" s="49"/>
      <c r="K154" s="49"/>
      <c r="L154" s="97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</row>
    <row r="155" ht="15.75" customHeight="1">
      <c r="A155" s="49"/>
      <c r="B155" s="49"/>
      <c r="C155" s="49"/>
      <c r="D155" s="49"/>
      <c r="E155" s="49"/>
      <c r="F155" s="97"/>
      <c r="G155" s="49"/>
      <c r="H155" s="49"/>
      <c r="I155" s="49"/>
      <c r="J155" s="49"/>
      <c r="K155" s="49"/>
      <c r="L155" s="97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</row>
    <row r="156" ht="15.75" customHeight="1">
      <c r="A156" s="49"/>
      <c r="B156" s="49"/>
      <c r="C156" s="49"/>
      <c r="D156" s="49"/>
      <c r="E156" s="49"/>
      <c r="F156" s="97"/>
      <c r="G156" s="49"/>
      <c r="H156" s="49"/>
      <c r="I156" s="49"/>
      <c r="J156" s="49"/>
      <c r="K156" s="49"/>
      <c r="L156" s="97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</row>
    <row r="157" ht="15.75" customHeight="1">
      <c r="A157" s="49"/>
      <c r="B157" s="49"/>
      <c r="C157" s="49"/>
      <c r="D157" s="49"/>
      <c r="E157" s="49"/>
      <c r="F157" s="97"/>
      <c r="G157" s="49"/>
      <c r="H157" s="49"/>
      <c r="I157" s="49"/>
      <c r="J157" s="49"/>
      <c r="K157" s="49"/>
      <c r="L157" s="97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</row>
    <row r="158" ht="15.75" customHeight="1">
      <c r="A158" s="49"/>
      <c r="B158" s="49"/>
      <c r="C158" s="49"/>
      <c r="D158" s="49"/>
      <c r="E158" s="49"/>
      <c r="F158" s="97"/>
      <c r="G158" s="49"/>
      <c r="H158" s="49"/>
      <c r="I158" s="49"/>
      <c r="J158" s="49"/>
      <c r="K158" s="49"/>
      <c r="L158" s="97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</row>
    <row r="159" ht="15.75" customHeight="1">
      <c r="A159" s="49"/>
      <c r="B159" s="49"/>
      <c r="C159" s="49"/>
      <c r="D159" s="49"/>
      <c r="E159" s="49"/>
      <c r="F159" s="97"/>
      <c r="G159" s="49"/>
      <c r="H159" s="49"/>
      <c r="I159" s="49"/>
      <c r="J159" s="49"/>
      <c r="K159" s="49"/>
      <c r="L159" s="97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</row>
    <row r="160" ht="15.75" customHeight="1">
      <c r="A160" s="49"/>
      <c r="B160" s="49"/>
      <c r="C160" s="49"/>
      <c r="D160" s="49"/>
      <c r="E160" s="49"/>
      <c r="F160" s="97"/>
      <c r="G160" s="49"/>
      <c r="H160" s="49"/>
      <c r="I160" s="49"/>
      <c r="J160" s="49"/>
      <c r="K160" s="49"/>
      <c r="L160" s="97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</row>
    <row r="161" ht="15.75" customHeight="1">
      <c r="A161" s="49"/>
      <c r="B161" s="49"/>
      <c r="C161" s="49"/>
      <c r="D161" s="49"/>
      <c r="E161" s="49"/>
      <c r="F161" s="97"/>
      <c r="G161" s="49"/>
      <c r="H161" s="49"/>
      <c r="I161" s="49"/>
      <c r="J161" s="49"/>
      <c r="K161" s="49"/>
      <c r="L161" s="97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</row>
    <row r="162" ht="15.75" customHeight="1">
      <c r="A162" s="49"/>
      <c r="B162" s="49"/>
      <c r="C162" s="49"/>
      <c r="D162" s="49"/>
      <c r="E162" s="49"/>
      <c r="F162" s="97"/>
      <c r="G162" s="49"/>
      <c r="H162" s="49"/>
      <c r="I162" s="49"/>
      <c r="J162" s="49"/>
      <c r="K162" s="49"/>
      <c r="L162" s="97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</row>
    <row r="163" ht="15.75" customHeight="1">
      <c r="A163" s="49"/>
      <c r="B163" s="49"/>
      <c r="C163" s="49"/>
      <c r="D163" s="49"/>
      <c r="E163" s="49"/>
      <c r="F163" s="97"/>
      <c r="G163" s="49"/>
      <c r="H163" s="49"/>
      <c r="I163" s="49"/>
      <c r="J163" s="49"/>
      <c r="K163" s="49"/>
      <c r="L163" s="97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</row>
    <row r="164" ht="15.75" customHeight="1">
      <c r="A164" s="49"/>
      <c r="B164" s="49"/>
      <c r="C164" s="49"/>
      <c r="D164" s="49"/>
      <c r="E164" s="49"/>
      <c r="F164" s="97"/>
      <c r="G164" s="49"/>
      <c r="H164" s="49"/>
      <c r="I164" s="49"/>
      <c r="J164" s="49"/>
      <c r="K164" s="49"/>
      <c r="L164" s="97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</row>
    <row r="165" ht="15.75" customHeight="1">
      <c r="A165" s="49"/>
      <c r="B165" s="49"/>
      <c r="C165" s="49"/>
      <c r="D165" s="49"/>
      <c r="E165" s="49"/>
      <c r="F165" s="97"/>
      <c r="G165" s="49"/>
      <c r="H165" s="49"/>
      <c r="I165" s="49"/>
      <c r="J165" s="49"/>
      <c r="K165" s="49"/>
      <c r="L165" s="97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</row>
    <row r="166" ht="15.75" customHeight="1">
      <c r="A166" s="49"/>
      <c r="B166" s="49"/>
      <c r="C166" s="49"/>
      <c r="D166" s="49"/>
      <c r="E166" s="49"/>
      <c r="F166" s="97"/>
      <c r="G166" s="49"/>
      <c r="H166" s="49"/>
      <c r="I166" s="49"/>
      <c r="J166" s="49"/>
      <c r="K166" s="49"/>
      <c r="L166" s="97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</row>
    <row r="167" ht="15.75" customHeight="1">
      <c r="A167" s="49"/>
      <c r="B167" s="49"/>
      <c r="C167" s="49"/>
      <c r="D167" s="49"/>
      <c r="E167" s="49"/>
      <c r="F167" s="97"/>
      <c r="G167" s="49"/>
      <c r="H167" s="49"/>
      <c r="I167" s="49"/>
      <c r="J167" s="49"/>
      <c r="K167" s="49"/>
      <c r="L167" s="97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</row>
    <row r="168" ht="15.75" customHeight="1">
      <c r="A168" s="49"/>
      <c r="B168" s="49"/>
      <c r="C168" s="49"/>
      <c r="D168" s="49"/>
      <c r="E168" s="49"/>
      <c r="F168" s="97"/>
      <c r="G168" s="49"/>
      <c r="H168" s="49"/>
      <c r="I168" s="49"/>
      <c r="J168" s="49"/>
      <c r="K168" s="49"/>
      <c r="L168" s="97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</row>
    <row r="169" ht="15.75" customHeight="1">
      <c r="A169" s="49"/>
      <c r="B169" s="49"/>
      <c r="C169" s="49"/>
      <c r="D169" s="49"/>
      <c r="E169" s="49"/>
      <c r="F169" s="97"/>
      <c r="G169" s="49"/>
      <c r="H169" s="49"/>
      <c r="I169" s="49"/>
      <c r="J169" s="49"/>
      <c r="K169" s="49"/>
      <c r="L169" s="97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</row>
    <row r="170" ht="15.75" customHeight="1">
      <c r="A170" s="49"/>
      <c r="B170" s="49"/>
      <c r="C170" s="49"/>
      <c r="D170" s="49"/>
      <c r="E170" s="49"/>
      <c r="F170" s="97"/>
      <c r="G170" s="49"/>
      <c r="H170" s="49"/>
      <c r="I170" s="49"/>
      <c r="J170" s="49"/>
      <c r="K170" s="49"/>
      <c r="L170" s="97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</row>
    <row r="171" ht="15.75" customHeight="1">
      <c r="A171" s="49"/>
      <c r="B171" s="49"/>
      <c r="C171" s="49"/>
      <c r="D171" s="49"/>
      <c r="E171" s="49"/>
      <c r="F171" s="97"/>
      <c r="G171" s="49"/>
      <c r="H171" s="49"/>
      <c r="I171" s="49"/>
      <c r="J171" s="49"/>
      <c r="K171" s="49"/>
      <c r="L171" s="97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</row>
    <row r="172" ht="15.75" customHeight="1">
      <c r="A172" s="49"/>
      <c r="B172" s="49"/>
      <c r="C172" s="49"/>
      <c r="D172" s="49"/>
      <c r="E172" s="49"/>
      <c r="F172" s="97"/>
      <c r="G172" s="49"/>
      <c r="H172" s="49"/>
      <c r="I172" s="49"/>
      <c r="J172" s="49"/>
      <c r="K172" s="49"/>
      <c r="L172" s="97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</row>
    <row r="173" ht="15.75" customHeight="1">
      <c r="A173" s="49"/>
      <c r="B173" s="49"/>
      <c r="C173" s="49"/>
      <c r="D173" s="49"/>
      <c r="E173" s="49"/>
      <c r="F173" s="97"/>
      <c r="G173" s="49"/>
      <c r="H173" s="49"/>
      <c r="I173" s="49"/>
      <c r="J173" s="49"/>
      <c r="K173" s="49"/>
      <c r="L173" s="97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</row>
    <row r="174" ht="15.75" customHeight="1">
      <c r="A174" s="49"/>
      <c r="B174" s="49"/>
      <c r="C174" s="49"/>
      <c r="D174" s="49"/>
      <c r="E174" s="49"/>
      <c r="F174" s="97"/>
      <c r="G174" s="49"/>
      <c r="H174" s="49"/>
      <c r="I174" s="49"/>
      <c r="J174" s="49"/>
      <c r="K174" s="49"/>
      <c r="L174" s="97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</row>
    <row r="175" ht="15.75" customHeight="1">
      <c r="A175" s="49"/>
      <c r="B175" s="49"/>
      <c r="C175" s="49"/>
      <c r="D175" s="49"/>
      <c r="E175" s="49"/>
      <c r="F175" s="97"/>
      <c r="G175" s="49"/>
      <c r="H175" s="49"/>
      <c r="I175" s="49"/>
      <c r="J175" s="49"/>
      <c r="K175" s="49"/>
      <c r="L175" s="97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</row>
    <row r="176" ht="15.75" customHeight="1">
      <c r="A176" s="49"/>
      <c r="B176" s="49"/>
      <c r="C176" s="49"/>
      <c r="D176" s="49"/>
      <c r="E176" s="49"/>
      <c r="F176" s="97"/>
      <c r="G176" s="49"/>
      <c r="H176" s="49"/>
      <c r="I176" s="49"/>
      <c r="J176" s="49"/>
      <c r="K176" s="49"/>
      <c r="L176" s="97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</row>
    <row r="177" ht="15.75" customHeight="1">
      <c r="A177" s="49"/>
      <c r="B177" s="49"/>
      <c r="C177" s="49"/>
      <c r="D177" s="49"/>
      <c r="E177" s="49"/>
      <c r="F177" s="97"/>
      <c r="G177" s="49"/>
      <c r="H177" s="49"/>
      <c r="I177" s="49"/>
      <c r="J177" s="49"/>
      <c r="K177" s="49"/>
      <c r="L177" s="97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</row>
    <row r="178" ht="15.75" customHeight="1">
      <c r="A178" s="49"/>
      <c r="B178" s="49"/>
      <c r="C178" s="49"/>
      <c r="D178" s="49"/>
      <c r="E178" s="49"/>
      <c r="F178" s="97"/>
      <c r="G178" s="49"/>
      <c r="H178" s="49"/>
      <c r="I178" s="49"/>
      <c r="J178" s="49"/>
      <c r="K178" s="49"/>
      <c r="L178" s="97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</row>
    <row r="179" ht="15.75" customHeight="1">
      <c r="A179" s="49"/>
      <c r="B179" s="49"/>
      <c r="C179" s="49"/>
      <c r="D179" s="49"/>
      <c r="E179" s="49"/>
      <c r="F179" s="97"/>
      <c r="G179" s="49"/>
      <c r="H179" s="49"/>
      <c r="I179" s="49"/>
      <c r="J179" s="49"/>
      <c r="K179" s="49"/>
      <c r="L179" s="97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</row>
    <row r="180" ht="15.75" customHeight="1">
      <c r="A180" s="49"/>
      <c r="B180" s="49"/>
      <c r="C180" s="49"/>
      <c r="D180" s="49"/>
      <c r="E180" s="49"/>
      <c r="F180" s="97"/>
      <c r="G180" s="49"/>
      <c r="H180" s="49"/>
      <c r="I180" s="49"/>
      <c r="J180" s="49"/>
      <c r="K180" s="49"/>
      <c r="L180" s="97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</row>
    <row r="181" ht="15.75" customHeight="1">
      <c r="A181" s="49"/>
      <c r="B181" s="49"/>
      <c r="C181" s="49"/>
      <c r="D181" s="49"/>
      <c r="E181" s="49"/>
      <c r="F181" s="97"/>
      <c r="G181" s="49"/>
      <c r="H181" s="49"/>
      <c r="I181" s="49"/>
      <c r="J181" s="49"/>
      <c r="K181" s="49"/>
      <c r="L181" s="97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</row>
    <row r="182" ht="15.75" customHeight="1">
      <c r="A182" s="49"/>
      <c r="B182" s="49"/>
      <c r="C182" s="49"/>
      <c r="D182" s="49"/>
      <c r="E182" s="49"/>
      <c r="F182" s="97"/>
      <c r="G182" s="49"/>
      <c r="H182" s="49"/>
      <c r="I182" s="49"/>
      <c r="J182" s="49"/>
      <c r="K182" s="49"/>
      <c r="L182" s="97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</row>
    <row r="183" ht="15.75" customHeight="1">
      <c r="A183" s="49"/>
      <c r="B183" s="49"/>
      <c r="C183" s="49"/>
      <c r="D183" s="49"/>
      <c r="E183" s="49"/>
      <c r="F183" s="97"/>
      <c r="G183" s="49"/>
      <c r="H183" s="49"/>
      <c r="I183" s="49"/>
      <c r="J183" s="49"/>
      <c r="K183" s="49"/>
      <c r="L183" s="97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</row>
    <row r="184" ht="15.75" customHeight="1">
      <c r="A184" s="49"/>
      <c r="B184" s="49"/>
      <c r="C184" s="49"/>
      <c r="D184" s="49"/>
      <c r="E184" s="49"/>
      <c r="F184" s="97"/>
      <c r="G184" s="49"/>
      <c r="H184" s="49"/>
      <c r="I184" s="49"/>
      <c r="J184" s="49"/>
      <c r="K184" s="49"/>
      <c r="L184" s="97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</row>
    <row r="185" ht="15.75" customHeight="1">
      <c r="A185" s="49"/>
      <c r="B185" s="49"/>
      <c r="C185" s="49"/>
      <c r="D185" s="49"/>
      <c r="E185" s="49"/>
      <c r="F185" s="97"/>
      <c r="G185" s="49"/>
      <c r="H185" s="49"/>
      <c r="I185" s="49"/>
      <c r="J185" s="49"/>
      <c r="K185" s="49"/>
      <c r="L185" s="97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</row>
    <row r="186" ht="15.75" customHeight="1">
      <c r="A186" s="49"/>
      <c r="B186" s="49"/>
      <c r="C186" s="49"/>
      <c r="D186" s="49"/>
      <c r="E186" s="49"/>
      <c r="F186" s="97"/>
      <c r="G186" s="49"/>
      <c r="H186" s="49"/>
      <c r="I186" s="49"/>
      <c r="J186" s="49"/>
      <c r="K186" s="49"/>
      <c r="L186" s="97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</row>
    <row r="187" ht="15.75" customHeight="1">
      <c r="A187" s="49"/>
      <c r="B187" s="49"/>
      <c r="C187" s="49"/>
      <c r="D187" s="49"/>
      <c r="E187" s="49"/>
      <c r="F187" s="97"/>
      <c r="G187" s="49"/>
      <c r="H187" s="49"/>
      <c r="I187" s="49"/>
      <c r="J187" s="49"/>
      <c r="K187" s="49"/>
      <c r="L187" s="97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</row>
    <row r="188" ht="15.75" customHeight="1">
      <c r="A188" s="49"/>
      <c r="B188" s="49"/>
      <c r="C188" s="49"/>
      <c r="D188" s="49"/>
      <c r="E188" s="49"/>
      <c r="F188" s="97"/>
      <c r="G188" s="49"/>
      <c r="H188" s="49"/>
      <c r="I188" s="49"/>
      <c r="J188" s="49"/>
      <c r="K188" s="49"/>
      <c r="L188" s="97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</row>
    <row r="189" ht="15.75" customHeight="1">
      <c r="A189" s="49"/>
      <c r="B189" s="49"/>
      <c r="C189" s="49"/>
      <c r="D189" s="49"/>
      <c r="E189" s="49"/>
      <c r="F189" s="97"/>
      <c r="G189" s="49"/>
      <c r="H189" s="49"/>
      <c r="I189" s="49"/>
      <c r="J189" s="49"/>
      <c r="K189" s="49"/>
      <c r="L189" s="97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</row>
    <row r="190" ht="15.75" customHeight="1">
      <c r="A190" s="49"/>
      <c r="B190" s="49"/>
      <c r="C190" s="49"/>
      <c r="D190" s="49"/>
      <c r="E190" s="49"/>
      <c r="F190" s="97"/>
      <c r="G190" s="49"/>
      <c r="H190" s="49"/>
      <c r="I190" s="49"/>
      <c r="J190" s="49"/>
      <c r="K190" s="49"/>
      <c r="L190" s="97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</row>
    <row r="191" ht="15.75" customHeight="1">
      <c r="A191" s="49"/>
      <c r="B191" s="49"/>
      <c r="C191" s="49"/>
      <c r="D191" s="49"/>
      <c r="E191" s="49"/>
      <c r="F191" s="97"/>
      <c r="G191" s="49"/>
      <c r="H191" s="49"/>
      <c r="I191" s="49"/>
      <c r="J191" s="49"/>
      <c r="K191" s="49"/>
      <c r="L191" s="97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</row>
    <row r="192" ht="15.75" customHeight="1">
      <c r="A192" s="49"/>
      <c r="B192" s="49"/>
      <c r="C192" s="49"/>
      <c r="D192" s="49"/>
      <c r="E192" s="49"/>
      <c r="F192" s="97"/>
      <c r="G192" s="49"/>
      <c r="H192" s="49"/>
      <c r="I192" s="49"/>
      <c r="J192" s="49"/>
      <c r="K192" s="49"/>
      <c r="L192" s="97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</row>
    <row r="193" ht="15.75" customHeight="1">
      <c r="A193" s="49"/>
      <c r="B193" s="49"/>
      <c r="C193" s="49"/>
      <c r="D193" s="49"/>
      <c r="E193" s="49"/>
      <c r="F193" s="97"/>
      <c r="G193" s="49"/>
      <c r="H193" s="49"/>
      <c r="I193" s="49"/>
      <c r="J193" s="49"/>
      <c r="K193" s="49"/>
      <c r="L193" s="97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</row>
    <row r="194" ht="15.75" customHeight="1">
      <c r="A194" s="49"/>
      <c r="B194" s="49"/>
      <c r="C194" s="49"/>
      <c r="D194" s="49"/>
      <c r="E194" s="49"/>
      <c r="F194" s="97"/>
      <c r="G194" s="49"/>
      <c r="H194" s="49"/>
      <c r="I194" s="49"/>
      <c r="J194" s="49"/>
      <c r="K194" s="49"/>
      <c r="L194" s="97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</row>
    <row r="195" ht="15.75" customHeight="1">
      <c r="A195" s="49"/>
      <c r="B195" s="49"/>
      <c r="C195" s="49"/>
      <c r="D195" s="49"/>
      <c r="E195" s="49"/>
      <c r="F195" s="97"/>
      <c r="G195" s="49"/>
      <c r="H195" s="49"/>
      <c r="I195" s="49"/>
      <c r="J195" s="49"/>
      <c r="K195" s="49"/>
      <c r="L195" s="97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</row>
    <row r="196" ht="15.75" customHeight="1">
      <c r="A196" s="49"/>
      <c r="B196" s="49"/>
      <c r="C196" s="49"/>
      <c r="D196" s="49"/>
      <c r="E196" s="49"/>
      <c r="F196" s="97"/>
      <c r="G196" s="49"/>
      <c r="H196" s="49"/>
      <c r="I196" s="49"/>
      <c r="J196" s="49"/>
      <c r="K196" s="49"/>
      <c r="L196" s="97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</row>
    <row r="197" ht="15.75" customHeight="1">
      <c r="A197" s="49"/>
      <c r="B197" s="49"/>
      <c r="C197" s="49"/>
      <c r="D197" s="49"/>
      <c r="E197" s="49"/>
      <c r="F197" s="97"/>
      <c r="G197" s="49"/>
      <c r="H197" s="49"/>
      <c r="I197" s="49"/>
      <c r="J197" s="49"/>
      <c r="K197" s="49"/>
      <c r="L197" s="97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</row>
    <row r="198" ht="15.75" customHeight="1">
      <c r="A198" s="49"/>
      <c r="B198" s="49"/>
      <c r="C198" s="49"/>
      <c r="D198" s="49"/>
      <c r="E198" s="49"/>
      <c r="F198" s="97"/>
      <c r="G198" s="49"/>
      <c r="H198" s="49"/>
      <c r="I198" s="49"/>
      <c r="J198" s="49"/>
      <c r="K198" s="49"/>
      <c r="L198" s="97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</row>
    <row r="199" ht="15.75" customHeight="1">
      <c r="A199" s="49"/>
      <c r="B199" s="49"/>
      <c r="C199" s="49"/>
      <c r="D199" s="49"/>
      <c r="E199" s="49"/>
      <c r="F199" s="97"/>
      <c r="G199" s="49"/>
      <c r="H199" s="49"/>
      <c r="I199" s="49"/>
      <c r="J199" s="49"/>
      <c r="K199" s="49"/>
      <c r="L199" s="97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</row>
    <row r="200" ht="15.75" customHeight="1">
      <c r="A200" s="49"/>
      <c r="B200" s="49"/>
      <c r="C200" s="49"/>
      <c r="D200" s="49"/>
      <c r="E200" s="49"/>
      <c r="F200" s="97"/>
      <c r="G200" s="49"/>
      <c r="H200" s="49"/>
      <c r="I200" s="49"/>
      <c r="J200" s="49"/>
      <c r="K200" s="49"/>
      <c r="L200" s="97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</row>
    <row r="201" ht="15.75" customHeight="1">
      <c r="A201" s="49"/>
      <c r="B201" s="49"/>
      <c r="C201" s="49"/>
      <c r="D201" s="49"/>
      <c r="E201" s="49"/>
      <c r="F201" s="97"/>
      <c r="G201" s="49"/>
      <c r="H201" s="49"/>
      <c r="I201" s="49"/>
      <c r="J201" s="49"/>
      <c r="K201" s="49"/>
      <c r="L201" s="97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</row>
    <row r="202" ht="15.75" customHeight="1">
      <c r="A202" s="49"/>
      <c r="B202" s="49"/>
      <c r="C202" s="49"/>
      <c r="D202" s="49"/>
      <c r="E202" s="49"/>
      <c r="F202" s="97"/>
      <c r="G202" s="49"/>
      <c r="H202" s="49"/>
      <c r="I202" s="49"/>
      <c r="J202" s="49"/>
      <c r="K202" s="49"/>
      <c r="L202" s="97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</row>
    <row r="203" ht="15.75" customHeight="1">
      <c r="A203" s="49"/>
      <c r="B203" s="49"/>
      <c r="C203" s="49"/>
      <c r="D203" s="49"/>
      <c r="E203" s="49"/>
      <c r="F203" s="97"/>
      <c r="G203" s="49"/>
      <c r="H203" s="49"/>
      <c r="I203" s="49"/>
      <c r="J203" s="49"/>
      <c r="K203" s="49"/>
      <c r="L203" s="97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</row>
    <row r="204" ht="15.75" customHeight="1">
      <c r="A204" s="49"/>
      <c r="B204" s="49"/>
      <c r="C204" s="49"/>
      <c r="D204" s="49"/>
      <c r="E204" s="49"/>
      <c r="F204" s="97"/>
      <c r="G204" s="49"/>
      <c r="H204" s="49"/>
      <c r="I204" s="49"/>
      <c r="J204" s="49"/>
      <c r="K204" s="49"/>
      <c r="L204" s="97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</row>
    <row r="205" ht="15.75" customHeight="1">
      <c r="A205" s="49"/>
      <c r="B205" s="49"/>
      <c r="C205" s="49"/>
      <c r="D205" s="49"/>
      <c r="E205" s="49"/>
      <c r="F205" s="97"/>
      <c r="G205" s="49"/>
      <c r="H205" s="49"/>
      <c r="I205" s="49"/>
      <c r="J205" s="49"/>
      <c r="K205" s="49"/>
      <c r="L205" s="97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</row>
    <row r="206" ht="15.75" customHeight="1">
      <c r="A206" s="49"/>
      <c r="B206" s="49"/>
      <c r="C206" s="49"/>
      <c r="D206" s="49"/>
      <c r="E206" s="49"/>
      <c r="F206" s="97"/>
      <c r="G206" s="49"/>
      <c r="H206" s="49"/>
      <c r="I206" s="49"/>
      <c r="J206" s="49"/>
      <c r="K206" s="49"/>
      <c r="L206" s="97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</row>
    <row r="207" ht="15.75" customHeight="1">
      <c r="A207" s="49"/>
      <c r="B207" s="49"/>
      <c r="C207" s="49"/>
      <c r="D207" s="49"/>
      <c r="E207" s="49"/>
      <c r="F207" s="97"/>
      <c r="G207" s="49"/>
      <c r="H207" s="49"/>
      <c r="I207" s="49"/>
      <c r="J207" s="49"/>
      <c r="K207" s="49"/>
      <c r="L207" s="97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</row>
    <row r="208" ht="15.75" customHeight="1">
      <c r="A208" s="49"/>
      <c r="B208" s="49"/>
      <c r="C208" s="49"/>
      <c r="D208" s="49"/>
      <c r="E208" s="49"/>
      <c r="F208" s="97"/>
      <c r="G208" s="49"/>
      <c r="H208" s="49"/>
      <c r="I208" s="49"/>
      <c r="J208" s="49"/>
      <c r="K208" s="49"/>
      <c r="L208" s="97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</row>
    <row r="209" ht="15.75" customHeight="1">
      <c r="A209" s="49"/>
      <c r="B209" s="49"/>
      <c r="C209" s="49"/>
      <c r="D209" s="49"/>
      <c r="E209" s="49"/>
      <c r="F209" s="97"/>
      <c r="G209" s="49"/>
      <c r="H209" s="49"/>
      <c r="I209" s="49"/>
      <c r="J209" s="49"/>
      <c r="K209" s="49"/>
      <c r="L209" s="97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</row>
    <row r="210" ht="15.75" customHeight="1">
      <c r="A210" s="49"/>
      <c r="B210" s="49"/>
      <c r="C210" s="49"/>
      <c r="D210" s="49"/>
      <c r="E210" s="49"/>
      <c r="F210" s="97"/>
      <c r="G210" s="49"/>
      <c r="H210" s="49"/>
      <c r="I210" s="49"/>
      <c r="J210" s="49"/>
      <c r="K210" s="49"/>
      <c r="L210" s="97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</row>
    <row r="211" ht="15.75" customHeight="1">
      <c r="A211" s="49"/>
      <c r="B211" s="49"/>
      <c r="C211" s="49"/>
      <c r="D211" s="49"/>
      <c r="E211" s="49"/>
      <c r="F211" s="97"/>
      <c r="G211" s="49"/>
      <c r="H211" s="49"/>
      <c r="I211" s="49"/>
      <c r="J211" s="49"/>
      <c r="K211" s="49"/>
      <c r="L211" s="97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</row>
    <row r="212" ht="15.75" customHeight="1">
      <c r="A212" s="49"/>
      <c r="B212" s="49"/>
      <c r="C212" s="49"/>
      <c r="D212" s="49"/>
      <c r="E212" s="49"/>
      <c r="F212" s="97"/>
      <c r="G212" s="49"/>
      <c r="H212" s="49"/>
      <c r="I212" s="49"/>
      <c r="J212" s="49"/>
      <c r="K212" s="49"/>
      <c r="L212" s="97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</row>
    <row r="213" ht="15.75" customHeight="1">
      <c r="A213" s="49"/>
      <c r="B213" s="49"/>
      <c r="C213" s="49"/>
      <c r="D213" s="49"/>
      <c r="E213" s="49"/>
      <c r="F213" s="97"/>
      <c r="G213" s="49"/>
      <c r="H213" s="49"/>
      <c r="I213" s="49"/>
      <c r="J213" s="49"/>
      <c r="K213" s="49"/>
      <c r="L213" s="97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</row>
    <row r="214" ht="15.75" customHeight="1">
      <c r="A214" s="49"/>
      <c r="B214" s="49"/>
      <c r="C214" s="49"/>
      <c r="D214" s="49"/>
      <c r="E214" s="49"/>
      <c r="F214" s="97"/>
      <c r="G214" s="49"/>
      <c r="H214" s="49"/>
      <c r="I214" s="49"/>
      <c r="J214" s="49"/>
      <c r="K214" s="49"/>
      <c r="L214" s="97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</row>
    <row r="215" ht="15.75" customHeight="1">
      <c r="A215" s="49"/>
      <c r="B215" s="49"/>
      <c r="C215" s="49"/>
      <c r="D215" s="49"/>
      <c r="E215" s="49"/>
      <c r="F215" s="97"/>
      <c r="G215" s="49"/>
      <c r="H215" s="49"/>
      <c r="I215" s="49"/>
      <c r="J215" s="49"/>
      <c r="K215" s="49"/>
      <c r="L215" s="97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</row>
    <row r="216" ht="15.75" customHeight="1">
      <c r="A216" s="49"/>
      <c r="B216" s="49"/>
      <c r="C216" s="49"/>
      <c r="D216" s="49"/>
      <c r="E216" s="49"/>
      <c r="F216" s="97"/>
      <c r="G216" s="49"/>
      <c r="H216" s="49"/>
      <c r="I216" s="49"/>
      <c r="J216" s="49"/>
      <c r="K216" s="49"/>
      <c r="L216" s="97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</row>
    <row r="217" ht="15.75" customHeight="1">
      <c r="A217" s="49"/>
      <c r="B217" s="49"/>
      <c r="C217" s="49"/>
      <c r="D217" s="49"/>
      <c r="E217" s="49"/>
      <c r="F217" s="97"/>
      <c r="G217" s="49"/>
      <c r="H217" s="49"/>
      <c r="I217" s="49"/>
      <c r="J217" s="49"/>
      <c r="K217" s="49"/>
      <c r="L217" s="97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</row>
    <row r="218" ht="15.75" customHeight="1">
      <c r="A218" s="49"/>
      <c r="B218" s="49"/>
      <c r="C218" s="49"/>
      <c r="D218" s="49"/>
      <c r="E218" s="49"/>
      <c r="F218" s="97"/>
      <c r="G218" s="49"/>
      <c r="H218" s="49"/>
      <c r="I218" s="49"/>
      <c r="J218" s="49"/>
      <c r="K218" s="49"/>
      <c r="L218" s="97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</row>
    <row r="219" ht="15.75" customHeight="1">
      <c r="A219" s="49"/>
      <c r="B219" s="49"/>
      <c r="C219" s="49"/>
      <c r="D219" s="49"/>
      <c r="E219" s="49"/>
      <c r="F219" s="97"/>
      <c r="G219" s="49"/>
      <c r="H219" s="49"/>
      <c r="I219" s="49"/>
      <c r="J219" s="49"/>
      <c r="K219" s="49"/>
      <c r="L219" s="97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</row>
    <row r="220" ht="15.75" customHeight="1">
      <c r="A220" s="49"/>
      <c r="B220" s="49"/>
      <c r="C220" s="49"/>
      <c r="D220" s="49"/>
      <c r="E220" s="49"/>
      <c r="F220" s="97"/>
      <c r="G220" s="49"/>
      <c r="H220" s="49"/>
      <c r="I220" s="49"/>
      <c r="J220" s="49"/>
      <c r="K220" s="49"/>
      <c r="L220" s="97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</row>
    <row r="221" ht="15.75" customHeight="1">
      <c r="A221" s="49"/>
      <c r="B221" s="49"/>
      <c r="C221" s="49"/>
      <c r="D221" s="49"/>
      <c r="E221" s="49"/>
      <c r="F221" s="97"/>
      <c r="G221" s="49"/>
      <c r="H221" s="49"/>
      <c r="I221" s="49"/>
      <c r="J221" s="49"/>
      <c r="K221" s="49"/>
      <c r="L221" s="97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</row>
    <row r="222" ht="15.75" customHeight="1">
      <c r="A222" s="49"/>
      <c r="B222" s="49"/>
      <c r="C222" s="49"/>
      <c r="D222" s="49"/>
      <c r="E222" s="49"/>
      <c r="F222" s="97"/>
      <c r="G222" s="49"/>
      <c r="H222" s="49"/>
      <c r="I222" s="49"/>
      <c r="J222" s="49"/>
      <c r="K222" s="49"/>
      <c r="L222" s="97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</row>
    <row r="223" ht="15.75" customHeight="1">
      <c r="A223" s="49"/>
      <c r="B223" s="49"/>
      <c r="C223" s="49"/>
      <c r="D223" s="49"/>
      <c r="E223" s="49"/>
      <c r="F223" s="97"/>
      <c r="G223" s="49"/>
      <c r="H223" s="49"/>
      <c r="I223" s="49"/>
      <c r="J223" s="49"/>
      <c r="K223" s="49"/>
      <c r="L223" s="97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</row>
    <row r="224" ht="15.75" customHeight="1">
      <c r="A224" s="49"/>
      <c r="B224" s="49"/>
      <c r="C224" s="49"/>
      <c r="D224" s="49"/>
      <c r="E224" s="49"/>
      <c r="F224" s="97"/>
      <c r="G224" s="49"/>
      <c r="H224" s="49"/>
      <c r="I224" s="49"/>
      <c r="J224" s="49"/>
      <c r="K224" s="49"/>
      <c r="L224" s="97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</row>
    <row r="225" ht="15.75" customHeight="1">
      <c r="A225" s="49"/>
      <c r="B225" s="49"/>
      <c r="C225" s="49"/>
      <c r="D225" s="49"/>
      <c r="E225" s="49"/>
      <c r="F225" s="97"/>
      <c r="G225" s="49"/>
      <c r="H225" s="49"/>
      <c r="I225" s="49"/>
      <c r="J225" s="49"/>
      <c r="K225" s="49"/>
      <c r="L225" s="97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</row>
    <row r="226" ht="15.75" customHeight="1">
      <c r="A226" s="49"/>
      <c r="B226" s="49"/>
      <c r="C226" s="49"/>
      <c r="D226" s="49"/>
      <c r="E226" s="49"/>
      <c r="F226" s="97"/>
      <c r="G226" s="49"/>
      <c r="H226" s="49"/>
      <c r="I226" s="49"/>
      <c r="J226" s="49"/>
      <c r="K226" s="49"/>
      <c r="L226" s="97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</row>
    <row r="227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</row>
    <row r="228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</row>
    <row r="229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</row>
    <row r="230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</row>
    <row r="23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</row>
    <row r="232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</row>
    <row r="233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</row>
    <row r="234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</row>
    <row r="23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</row>
    <row r="236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</row>
    <row r="237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</row>
    <row r="238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</row>
    <row r="239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</row>
    <row r="240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</row>
    <row r="24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</row>
    <row r="242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</row>
    <row r="243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</row>
    <row r="244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</row>
    <row r="24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</row>
    <row r="246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</row>
    <row r="247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</row>
    <row r="248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</row>
    <row r="249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</row>
    <row r="250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</row>
    <row r="25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</row>
    <row r="252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</row>
    <row r="253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</row>
    <row r="254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</row>
    <row r="25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</row>
    <row r="256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</row>
    <row r="257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</row>
    <row r="258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</row>
    <row r="259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</row>
    <row r="260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</row>
    <row r="26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</row>
    <row r="262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</row>
    <row r="263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</row>
    <row r="264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</row>
    <row r="26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</row>
    <row r="266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</row>
    <row r="267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</row>
    <row r="268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</row>
    <row r="269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</row>
    <row r="270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</row>
    <row r="27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</row>
    <row r="272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</row>
    <row r="273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</row>
    <row r="274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</row>
    <row r="27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</row>
    <row r="276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</row>
    <row r="277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</row>
    <row r="278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</row>
    <row r="279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</row>
    <row r="280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</row>
    <row r="28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</row>
    <row r="282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</row>
    <row r="283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</row>
    <row r="284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</row>
    <row r="28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</row>
    <row r="286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</row>
    <row r="287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</row>
    <row r="288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</row>
    <row r="289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</row>
    <row r="290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</row>
    <row r="29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</row>
    <row r="292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</row>
    <row r="293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</row>
    <row r="294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</row>
    <row r="29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</row>
    <row r="296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</row>
    <row r="297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</row>
    <row r="298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</row>
    <row r="299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</row>
    <row r="300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</row>
    <row r="30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</row>
    <row r="302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</row>
    <row r="303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</row>
    <row r="304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</row>
    <row r="30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</row>
    <row r="306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</row>
    <row r="307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</row>
    <row r="308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</row>
    <row r="309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</row>
    <row r="310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</row>
    <row r="31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</row>
    <row r="312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</row>
    <row r="313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</row>
    <row r="314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</row>
    <row r="31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</row>
    <row r="316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</row>
    <row r="317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</row>
    <row r="318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</row>
    <row r="319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</row>
    <row r="320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</row>
    <row r="32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</row>
    <row r="322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</row>
    <row r="323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</row>
    <row r="324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</row>
    <row r="32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</row>
    <row r="326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</row>
    <row r="327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</row>
    <row r="328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</row>
    <row r="329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</row>
    <row r="330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</row>
    <row r="33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</row>
    <row r="332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</row>
    <row r="333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</row>
    <row r="334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</row>
    <row r="33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</row>
    <row r="336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</row>
    <row r="337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</row>
    <row r="338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</row>
    <row r="339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</row>
    <row r="340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</row>
    <row r="34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</row>
    <row r="342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</row>
    <row r="343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</row>
    <row r="344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</row>
    <row r="34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</row>
    <row r="346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</row>
    <row r="347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</row>
    <row r="348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</row>
    <row r="349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</row>
    <row r="350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</row>
    <row r="35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</row>
    <row r="352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</row>
    <row r="353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</row>
    <row r="354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</row>
    <row r="35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</row>
    <row r="356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</row>
    <row r="357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</row>
    <row r="358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</row>
    <row r="359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</row>
    <row r="360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</row>
    <row r="36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</row>
    <row r="362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</row>
    <row r="363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</row>
    <row r="364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</row>
    <row r="36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</row>
    <row r="366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</row>
    <row r="367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</row>
    <row r="368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</row>
    <row r="369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</row>
    <row r="370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</row>
    <row r="37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</row>
    <row r="372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</row>
    <row r="373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</row>
    <row r="374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</row>
    <row r="37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</row>
    <row r="376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</row>
    <row r="377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</row>
    <row r="378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</row>
    <row r="379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</row>
    <row r="380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</row>
    <row r="38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</row>
    <row r="382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</row>
    <row r="383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</row>
    <row r="384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</row>
    <row r="38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</row>
    <row r="386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</row>
    <row r="387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</row>
    <row r="388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</row>
    <row r="389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</row>
    <row r="390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</row>
    <row r="39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</row>
    <row r="392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</row>
    <row r="393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</row>
    <row r="394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</row>
    <row r="39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</row>
    <row r="396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</row>
    <row r="397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</row>
    <row r="398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</row>
    <row r="399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</row>
    <row r="400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</row>
    <row r="40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</row>
    <row r="402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</row>
    <row r="403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</row>
    <row r="404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</row>
    <row r="40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</row>
    <row r="406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</row>
    <row r="407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</row>
    <row r="408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</row>
    <row r="409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</row>
    <row r="410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</row>
    <row r="41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</row>
    <row r="412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</row>
    <row r="413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</row>
    <row r="414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</row>
    <row r="41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</row>
    <row r="416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</row>
    <row r="417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</row>
    <row r="418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</row>
    <row r="419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</row>
    <row r="420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</row>
    <row r="42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</row>
    <row r="422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</row>
    <row r="423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</row>
    <row r="424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</row>
    <row r="42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</row>
    <row r="426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</row>
    <row r="427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</row>
    <row r="428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</row>
    <row r="429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</row>
    <row r="430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</row>
    <row r="43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</row>
    <row r="432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</row>
    <row r="433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</row>
    <row r="434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</row>
    <row r="43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</row>
    <row r="436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</row>
    <row r="437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</row>
    <row r="438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</row>
    <row r="439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</row>
    <row r="440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</row>
    <row r="44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</row>
    <row r="442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</row>
    <row r="443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</row>
    <row r="444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</row>
    <row r="44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</row>
    <row r="446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</row>
    <row r="447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</row>
    <row r="448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</row>
    <row r="449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</row>
    <row r="450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</row>
    <row r="45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</row>
    <row r="452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</row>
    <row r="453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</row>
    <row r="454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</row>
    <row r="45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</row>
    <row r="456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</row>
    <row r="457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</row>
    <row r="458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</row>
    <row r="459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</row>
    <row r="460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</row>
    <row r="46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</row>
    <row r="462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</row>
    <row r="463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</row>
    <row r="464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</row>
    <row r="46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</row>
    <row r="466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</row>
    <row r="467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</row>
    <row r="468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</row>
    <row r="469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</row>
    <row r="470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</row>
    <row r="47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</row>
    <row r="472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</row>
    <row r="473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</row>
    <row r="474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</row>
    <row r="47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</row>
    <row r="476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</row>
    <row r="477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</row>
    <row r="478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</row>
    <row r="479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</row>
    <row r="480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</row>
    <row r="48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</row>
    <row r="482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</row>
    <row r="483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</row>
    <row r="484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</row>
    <row r="48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</row>
    <row r="486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</row>
    <row r="487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</row>
    <row r="488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</row>
    <row r="489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</row>
    <row r="490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</row>
    <row r="49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</row>
    <row r="492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</row>
    <row r="493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</row>
    <row r="494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</row>
    <row r="49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</row>
    <row r="496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</row>
    <row r="497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</row>
    <row r="498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</row>
    <row r="499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</row>
    <row r="500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</row>
    <row r="50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</row>
    <row r="502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</row>
    <row r="503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</row>
    <row r="504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</row>
    <row r="50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</row>
    <row r="506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</row>
    <row r="507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</row>
    <row r="508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</row>
    <row r="509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</row>
    <row r="510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</row>
    <row r="51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</row>
    <row r="512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</row>
    <row r="513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</row>
    <row r="514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</row>
    <row r="51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</row>
    <row r="516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</row>
    <row r="517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</row>
    <row r="518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</row>
    <row r="519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</row>
    <row r="520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</row>
    <row r="52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</row>
    <row r="522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</row>
    <row r="523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</row>
    <row r="524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</row>
    <row r="52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</row>
    <row r="526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</row>
    <row r="527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</row>
    <row r="528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</row>
    <row r="529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</row>
    <row r="530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</row>
    <row r="53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</row>
    <row r="532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</row>
    <row r="533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</row>
    <row r="534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</row>
    <row r="53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</row>
    <row r="536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</row>
    <row r="537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</row>
    <row r="538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</row>
    <row r="539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</row>
    <row r="540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</row>
    <row r="54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</row>
    <row r="542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</row>
    <row r="543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</row>
    <row r="544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</row>
    <row r="54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</row>
    <row r="546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</row>
    <row r="547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</row>
    <row r="548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</row>
    <row r="549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</row>
    <row r="550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</row>
    <row r="55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</row>
    <row r="552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</row>
    <row r="553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</row>
    <row r="554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</row>
    <row r="55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</row>
    <row r="556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</row>
    <row r="557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</row>
    <row r="558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</row>
    <row r="559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</row>
    <row r="560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</row>
    <row r="56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</row>
    <row r="562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</row>
    <row r="563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</row>
    <row r="564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</row>
    <row r="56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</row>
    <row r="566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</row>
    <row r="567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</row>
    <row r="568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</row>
    <row r="569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</row>
    <row r="570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</row>
    <row r="57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</row>
    <row r="572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</row>
    <row r="573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</row>
    <row r="574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</row>
    <row r="57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</row>
    <row r="576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</row>
    <row r="577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</row>
    <row r="578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</row>
    <row r="579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</row>
    <row r="580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</row>
    <row r="58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</row>
    <row r="582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</row>
    <row r="583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</row>
    <row r="584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</row>
    <row r="58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</row>
    <row r="586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</row>
    <row r="587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</row>
    <row r="588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</row>
    <row r="589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</row>
    <row r="590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</row>
    <row r="59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</row>
    <row r="592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</row>
    <row r="593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</row>
    <row r="594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</row>
    <row r="59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</row>
    <row r="596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</row>
    <row r="597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</row>
    <row r="598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</row>
    <row r="599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</row>
    <row r="600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</row>
    <row r="60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</row>
    <row r="602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</row>
    <row r="603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</row>
    <row r="604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</row>
    <row r="60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</row>
    <row r="606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</row>
    <row r="607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</row>
    <row r="608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</row>
    <row r="609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</row>
    <row r="610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</row>
    <row r="61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</row>
    <row r="612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</row>
    <row r="613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</row>
    <row r="614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</row>
    <row r="61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</row>
    <row r="616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</row>
    <row r="617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</row>
    <row r="618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</row>
    <row r="619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</row>
    <row r="620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</row>
    <row r="62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</row>
    <row r="622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</row>
    <row r="623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</row>
    <row r="624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</row>
    <row r="62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</row>
    <row r="626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</row>
    <row r="627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</row>
    <row r="628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</row>
    <row r="629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</row>
    <row r="630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</row>
    <row r="63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</row>
    <row r="632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</row>
    <row r="633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</row>
    <row r="634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</row>
    <row r="63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</row>
    <row r="636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</row>
    <row r="637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</row>
    <row r="638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</row>
    <row r="639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</row>
    <row r="640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</row>
    <row r="64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</row>
    <row r="642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</row>
    <row r="643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</row>
    <row r="644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</row>
    <row r="64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</row>
    <row r="646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</row>
    <row r="647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</row>
    <row r="648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</row>
    <row r="649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</row>
    <row r="650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</row>
    <row r="65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</row>
    <row r="652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</row>
    <row r="653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</row>
    <row r="654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</row>
    <row r="65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</row>
    <row r="656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</row>
    <row r="657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</row>
    <row r="658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</row>
    <row r="659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</row>
    <row r="660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</row>
    <row r="66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</row>
    <row r="662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</row>
    <row r="663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</row>
    <row r="664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</row>
    <row r="66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</row>
    <row r="666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</row>
    <row r="667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</row>
    <row r="668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</row>
    <row r="669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</row>
    <row r="670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</row>
    <row r="67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</row>
    <row r="672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</row>
    <row r="673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</row>
    <row r="674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</row>
    <row r="67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</row>
    <row r="676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</row>
    <row r="677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</row>
    <row r="678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</row>
    <row r="679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</row>
    <row r="680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</row>
    <row r="68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</row>
    <row r="682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</row>
    <row r="683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</row>
    <row r="684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</row>
    <row r="68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</row>
    <row r="686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</row>
    <row r="687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</row>
    <row r="688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</row>
    <row r="689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</row>
    <row r="690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</row>
    <row r="69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</row>
    <row r="692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</row>
    <row r="693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</row>
    <row r="694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</row>
    <row r="69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</row>
    <row r="696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</row>
    <row r="697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</row>
    <row r="698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</row>
    <row r="699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</row>
    <row r="700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</row>
    <row r="70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</row>
    <row r="702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</row>
    <row r="703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</row>
    <row r="704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</row>
    <row r="70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</row>
    <row r="706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</row>
    <row r="707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</row>
    <row r="708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</row>
    <row r="709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</row>
    <row r="710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</row>
    <row r="71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</row>
    <row r="712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</row>
    <row r="713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</row>
    <row r="714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</row>
    <row r="71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</row>
    <row r="716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</row>
    <row r="717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</row>
    <row r="718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</row>
    <row r="719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</row>
    <row r="720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</row>
    <row r="72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</row>
    <row r="722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</row>
    <row r="723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</row>
    <row r="724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</row>
    <row r="72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</row>
    <row r="726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</row>
    <row r="727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</row>
    <row r="728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</row>
    <row r="729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</row>
    <row r="730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</row>
    <row r="73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</row>
    <row r="732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</row>
    <row r="733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</row>
    <row r="734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</row>
    <row r="73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</row>
    <row r="736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</row>
    <row r="737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</row>
    <row r="738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</row>
    <row r="739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</row>
    <row r="740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</row>
    <row r="74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</row>
    <row r="742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</row>
    <row r="743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</row>
    <row r="744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</row>
    <row r="74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</row>
    <row r="746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</row>
    <row r="747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</row>
    <row r="748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</row>
    <row r="749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</row>
    <row r="750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</row>
    <row r="75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</row>
    <row r="752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</row>
    <row r="753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</row>
    <row r="754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</row>
    <row r="75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</row>
    <row r="756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</row>
    <row r="757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</row>
    <row r="758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</row>
    <row r="759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</row>
    <row r="760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</row>
    <row r="76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</row>
    <row r="762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</row>
    <row r="763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</row>
    <row r="764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</row>
    <row r="76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</row>
    <row r="766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</row>
    <row r="767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</row>
    <row r="768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</row>
    <row r="769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</row>
    <row r="770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</row>
    <row r="77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</row>
    <row r="772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</row>
    <row r="773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</row>
    <row r="774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</row>
    <row r="77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</row>
    <row r="776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</row>
    <row r="777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</row>
    <row r="778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</row>
    <row r="779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</row>
    <row r="780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</row>
    <row r="78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</row>
    <row r="782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</row>
    <row r="783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</row>
    <row r="784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</row>
    <row r="78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</row>
    <row r="786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</row>
    <row r="787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</row>
    <row r="788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</row>
    <row r="789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</row>
    <row r="790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</row>
    <row r="79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</row>
    <row r="792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</row>
    <row r="793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</row>
    <row r="794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</row>
    <row r="79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</row>
    <row r="796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</row>
    <row r="797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</row>
    <row r="798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</row>
    <row r="799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</row>
    <row r="800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</row>
    <row r="80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</row>
    <row r="802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</row>
    <row r="803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  <c r="AQ803" s="103"/>
    </row>
    <row r="804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  <c r="AQ804" s="103"/>
    </row>
    <row r="80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  <c r="AQ805" s="103"/>
    </row>
    <row r="806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  <c r="AQ806" s="103"/>
    </row>
    <row r="807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  <c r="AQ807" s="103"/>
    </row>
    <row r="808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  <c r="AQ808" s="103"/>
    </row>
    <row r="809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  <c r="AQ809" s="103"/>
    </row>
    <row r="810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  <c r="AQ810" s="103"/>
    </row>
    <row r="81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  <c r="AQ811" s="103"/>
    </row>
    <row r="812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  <c r="AQ812" s="103"/>
    </row>
    <row r="813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  <c r="AQ813" s="103"/>
    </row>
    <row r="814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  <c r="AQ814" s="103"/>
    </row>
    <row r="81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  <c r="AQ815" s="103"/>
    </row>
    <row r="816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  <c r="AQ816" s="103"/>
    </row>
    <row r="817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  <c r="AQ817" s="103"/>
    </row>
    <row r="818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  <c r="AQ818" s="103"/>
    </row>
    <row r="819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  <c r="AQ819" s="103"/>
    </row>
    <row r="820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  <c r="AQ820" s="103"/>
    </row>
    <row r="82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  <c r="AQ821" s="103"/>
    </row>
    <row r="822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  <c r="AQ822" s="103"/>
    </row>
    <row r="823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  <c r="AQ823" s="103"/>
    </row>
    <row r="824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  <c r="AQ824" s="103"/>
    </row>
    <row r="82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  <c r="AQ825" s="103"/>
    </row>
    <row r="826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  <c r="AQ826" s="103"/>
    </row>
    <row r="827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  <c r="AQ827" s="103"/>
    </row>
    <row r="828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  <c r="AQ828" s="103"/>
    </row>
    <row r="829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  <c r="AQ829" s="103"/>
    </row>
    <row r="830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  <c r="AQ830" s="103"/>
    </row>
    <row r="83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  <c r="AQ831" s="103"/>
    </row>
    <row r="832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  <c r="AQ832" s="103"/>
    </row>
    <row r="833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  <c r="AQ833" s="103"/>
    </row>
    <row r="834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  <c r="AQ834" s="103"/>
    </row>
    <row r="83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  <c r="AQ835" s="103"/>
    </row>
    <row r="836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  <c r="AQ836" s="103"/>
    </row>
    <row r="837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  <c r="AQ837" s="103"/>
    </row>
    <row r="838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  <c r="AQ838" s="103"/>
    </row>
    <row r="839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  <c r="AQ839" s="103"/>
    </row>
    <row r="840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  <c r="AQ840" s="103"/>
    </row>
    <row r="84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  <c r="AQ841" s="103"/>
    </row>
    <row r="842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  <c r="AQ842" s="103"/>
    </row>
    <row r="843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  <c r="AQ843" s="103"/>
    </row>
    <row r="844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  <c r="AQ844" s="103"/>
    </row>
    <row r="84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  <c r="AQ845" s="103"/>
    </row>
    <row r="846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  <c r="AQ846" s="103"/>
    </row>
    <row r="847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  <c r="AQ847" s="103"/>
    </row>
    <row r="848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  <c r="AQ848" s="103"/>
    </row>
    <row r="849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  <c r="AQ849" s="103"/>
    </row>
    <row r="850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  <c r="AQ850" s="103"/>
    </row>
    <row r="85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  <c r="AQ851" s="103"/>
    </row>
    <row r="852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  <c r="AQ852" s="103"/>
    </row>
    <row r="853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  <c r="AQ853" s="103"/>
    </row>
    <row r="854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  <c r="AQ854" s="103"/>
    </row>
    <row r="85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  <c r="AQ855" s="103"/>
    </row>
    <row r="856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  <c r="AQ856" s="103"/>
    </row>
    <row r="857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  <c r="AQ857" s="103"/>
    </row>
    <row r="858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  <c r="AQ858" s="103"/>
    </row>
    <row r="859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  <c r="AQ859" s="103"/>
    </row>
    <row r="860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  <c r="AQ860" s="103"/>
    </row>
    <row r="86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  <c r="AQ861" s="103"/>
    </row>
    <row r="862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  <c r="AQ862" s="103"/>
    </row>
    <row r="863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  <c r="AQ863" s="103"/>
    </row>
    <row r="864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  <c r="AQ864" s="103"/>
    </row>
    <row r="86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  <c r="AQ865" s="103"/>
    </row>
    <row r="866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  <c r="AQ866" s="103"/>
    </row>
    <row r="867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  <c r="AQ867" s="103"/>
    </row>
    <row r="868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  <c r="AQ868" s="103"/>
    </row>
    <row r="869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  <c r="AQ869" s="103"/>
    </row>
    <row r="870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  <c r="AQ870" s="103"/>
    </row>
    <row r="87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  <c r="AQ871" s="103"/>
    </row>
    <row r="872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  <c r="AQ872" s="103"/>
    </row>
    <row r="873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  <c r="AQ873" s="103"/>
    </row>
    <row r="874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  <c r="AQ874" s="103"/>
    </row>
    <row r="87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  <c r="AQ875" s="103"/>
    </row>
    <row r="876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  <c r="AQ876" s="103"/>
    </row>
    <row r="877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  <c r="AQ877" s="103"/>
    </row>
    <row r="878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  <c r="AQ878" s="103"/>
    </row>
    <row r="879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  <c r="AQ879" s="103"/>
    </row>
    <row r="880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  <c r="AQ880" s="103"/>
    </row>
    <row r="88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  <c r="AQ881" s="103"/>
    </row>
    <row r="882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  <c r="AQ882" s="103"/>
    </row>
    <row r="883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  <c r="AQ883" s="103"/>
    </row>
    <row r="884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  <c r="AQ884" s="103"/>
    </row>
    <row r="88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  <c r="AQ885" s="103"/>
    </row>
    <row r="886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  <c r="AQ886" s="103"/>
    </row>
    <row r="887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  <c r="AQ887" s="103"/>
    </row>
    <row r="888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  <c r="AQ888" s="103"/>
    </row>
    <row r="889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  <c r="AQ889" s="103"/>
    </row>
    <row r="890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  <c r="AQ890" s="103"/>
    </row>
    <row r="89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  <c r="AQ891" s="103"/>
    </row>
    <row r="892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  <c r="AQ892" s="103"/>
    </row>
    <row r="893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  <c r="AQ893" s="103"/>
    </row>
    <row r="894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  <c r="AQ894" s="103"/>
    </row>
    <row r="89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  <c r="AQ895" s="103"/>
    </row>
    <row r="896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  <c r="AQ896" s="103"/>
    </row>
    <row r="897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  <c r="AQ897" s="103"/>
    </row>
    <row r="898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  <c r="AQ898" s="103"/>
    </row>
    <row r="899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  <c r="AQ899" s="103"/>
    </row>
    <row r="900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  <c r="AQ900" s="103"/>
    </row>
    <row r="90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  <c r="AQ901" s="103"/>
    </row>
    <row r="902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  <c r="AQ902" s="103"/>
    </row>
    <row r="903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  <c r="AQ903" s="103"/>
    </row>
    <row r="904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  <c r="AQ904" s="103"/>
    </row>
    <row r="90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  <c r="AQ905" s="103"/>
    </row>
    <row r="906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  <c r="AQ906" s="103"/>
    </row>
    <row r="907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  <c r="AQ907" s="103"/>
    </row>
    <row r="908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  <c r="AQ908" s="103"/>
    </row>
    <row r="909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  <c r="AQ909" s="103"/>
    </row>
    <row r="910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  <c r="AQ910" s="103"/>
    </row>
    <row r="91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  <c r="AQ911" s="103"/>
    </row>
    <row r="912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  <c r="AQ912" s="103"/>
    </row>
    <row r="913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  <c r="AQ913" s="103"/>
    </row>
    <row r="914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  <c r="AQ914" s="103"/>
    </row>
    <row r="91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  <c r="AQ915" s="103"/>
    </row>
    <row r="91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  <c r="AQ916" s="103"/>
    </row>
    <row r="917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  <c r="AQ917" s="103"/>
    </row>
    <row r="91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  <c r="AQ918" s="103"/>
    </row>
    <row r="919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  <c r="AQ919" s="103"/>
    </row>
    <row r="920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  <c r="AQ920" s="103"/>
    </row>
    <row r="92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  <c r="AQ921" s="103"/>
    </row>
    <row r="922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  <c r="AQ922" s="103"/>
    </row>
    <row r="923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  <c r="AQ923" s="103"/>
    </row>
    <row r="924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  <c r="AQ924" s="103"/>
    </row>
    <row r="92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  <c r="AQ925" s="103"/>
    </row>
    <row r="926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  <c r="AQ926" s="103"/>
    </row>
    <row r="927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  <c r="AQ927" s="103"/>
    </row>
    <row r="928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  <c r="AQ928" s="103"/>
    </row>
    <row r="929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  <c r="AQ929" s="103"/>
    </row>
    <row r="930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  <c r="AQ930" s="103"/>
    </row>
    <row r="93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  <c r="AQ931" s="103"/>
    </row>
    <row r="932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  <c r="AQ932" s="103"/>
    </row>
    <row r="933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  <c r="AQ933" s="103"/>
    </row>
    <row r="934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  <c r="AQ934" s="103"/>
    </row>
    <row r="93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  <c r="AQ935" s="103"/>
    </row>
    <row r="936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  <c r="AQ936" s="103"/>
    </row>
    <row r="937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  <c r="AQ937" s="103"/>
    </row>
    <row r="938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  <c r="AQ938" s="103"/>
    </row>
    <row r="939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  <c r="AQ939" s="103"/>
    </row>
    <row r="940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  <c r="AQ940" s="103"/>
    </row>
    <row r="94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  <c r="AQ941" s="103"/>
    </row>
    <row r="942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  <c r="AQ942" s="103"/>
    </row>
    <row r="943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  <c r="AQ943" s="103"/>
    </row>
    <row r="944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  <c r="AQ944" s="103"/>
    </row>
    <row r="94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  <c r="AQ945" s="103"/>
    </row>
    <row r="946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  <c r="AQ946" s="103"/>
    </row>
    <row r="947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  <c r="AQ947" s="103"/>
    </row>
    <row r="948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  <c r="AQ948" s="103"/>
    </row>
    <row r="949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  <c r="AQ949" s="103"/>
    </row>
    <row r="950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  <c r="AQ950" s="103"/>
    </row>
    <row r="95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  <c r="AQ951" s="103"/>
    </row>
    <row r="952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  <c r="AQ952" s="103"/>
    </row>
    <row r="953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  <c r="AQ953" s="103"/>
    </row>
    <row r="954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  <c r="AQ954" s="103"/>
    </row>
    <row r="95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  <c r="AQ955" s="103"/>
    </row>
    <row r="956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  <c r="AQ956" s="103"/>
    </row>
    <row r="957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  <c r="AQ957" s="103"/>
    </row>
    <row r="958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  <c r="AQ958" s="103"/>
    </row>
    <row r="959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  <c r="AQ959" s="103"/>
    </row>
    <row r="960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  <c r="AQ960" s="103"/>
    </row>
    <row r="96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  <c r="AP961" s="103"/>
      <c r="AQ961" s="103"/>
    </row>
    <row r="962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  <c r="AP962" s="103"/>
      <c r="AQ962" s="103"/>
    </row>
    <row r="963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  <c r="AP963" s="103"/>
      <c r="AQ963" s="103"/>
    </row>
    <row r="964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  <c r="AP964" s="103"/>
      <c r="AQ964" s="103"/>
    </row>
    <row r="96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  <c r="AP965" s="103"/>
      <c r="AQ965" s="103"/>
    </row>
    <row r="966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  <c r="AP966" s="103"/>
      <c r="AQ966" s="103"/>
    </row>
    <row r="967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  <c r="AP967" s="103"/>
      <c r="AQ967" s="103"/>
    </row>
    <row r="968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  <c r="AP968" s="103"/>
      <c r="AQ968" s="103"/>
    </row>
    <row r="969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  <c r="AP969" s="103"/>
      <c r="AQ969" s="103"/>
    </row>
    <row r="970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  <c r="AP970" s="103"/>
      <c r="AQ970" s="103"/>
    </row>
    <row r="97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  <c r="AP971" s="103"/>
      <c r="AQ971" s="103"/>
    </row>
    <row r="972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  <c r="AP972" s="103"/>
      <c r="AQ972" s="103"/>
    </row>
    <row r="973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  <c r="AP973" s="103"/>
      <c r="AQ973" s="103"/>
    </row>
    <row r="974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  <c r="AP974" s="103"/>
      <c r="AQ974" s="103"/>
    </row>
    <row r="97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  <c r="AP975" s="103"/>
      <c r="AQ975" s="103"/>
    </row>
    <row r="976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  <c r="AP976" s="103"/>
      <c r="AQ976" s="103"/>
    </row>
    <row r="977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  <c r="AP977" s="103"/>
      <c r="AQ977" s="103"/>
    </row>
    <row r="978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  <c r="AP978" s="103"/>
      <c r="AQ978" s="103"/>
    </row>
    <row r="979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  <c r="AP979" s="103"/>
      <c r="AQ979" s="103"/>
    </row>
    <row r="980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  <c r="AP980" s="103"/>
      <c r="AQ980" s="103"/>
    </row>
    <row r="98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  <c r="AP981" s="103"/>
      <c r="AQ981" s="103"/>
    </row>
    <row r="982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  <c r="AP982" s="103"/>
      <c r="AQ982" s="103"/>
    </row>
    <row r="983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  <c r="AP983" s="103"/>
      <c r="AQ983" s="103"/>
    </row>
    <row r="984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  <c r="AP984" s="103"/>
      <c r="AQ984" s="103"/>
    </row>
    <row r="98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  <c r="AP985" s="103"/>
      <c r="AQ985" s="103"/>
    </row>
    <row r="986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  <c r="AP986" s="103"/>
      <c r="AQ986" s="103"/>
    </row>
    <row r="987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  <c r="AP987" s="103"/>
      <c r="AQ987" s="103"/>
    </row>
    <row r="988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  <c r="AP988" s="103"/>
      <c r="AQ988" s="103"/>
    </row>
    <row r="989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  <c r="AP989" s="103"/>
      <c r="AQ989" s="103"/>
    </row>
    <row r="990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  <c r="AP990" s="103"/>
      <c r="AQ990" s="103"/>
    </row>
    <row r="99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  <c r="AP991" s="103"/>
      <c r="AQ991" s="103"/>
    </row>
    <row r="992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  <c r="AP992" s="103"/>
      <c r="AQ992" s="103"/>
    </row>
    <row r="993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  <c r="AP993" s="103"/>
      <c r="AQ993" s="103"/>
    </row>
    <row r="994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  <c r="AP994" s="103"/>
      <c r="AQ994" s="103"/>
    </row>
    <row r="995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  <c r="AP995" s="103"/>
      <c r="AQ995" s="103"/>
    </row>
    <row r="996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  <c r="AP996" s="103"/>
      <c r="AQ996" s="103"/>
    </row>
    <row r="997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  <c r="AP997" s="103"/>
      <c r="AQ997" s="103"/>
    </row>
    <row r="998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  <c r="AP998" s="103"/>
      <c r="AQ998" s="103"/>
    </row>
    <row r="999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  <c r="AP999" s="103"/>
      <c r="AQ999" s="103"/>
    </row>
    <row r="1000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  <c r="AC1000" s="103"/>
      <c r="AD1000" s="103"/>
      <c r="AE1000" s="103"/>
      <c r="AF1000" s="103"/>
      <c r="AG1000" s="103"/>
      <c r="AH1000" s="103"/>
      <c r="AI1000" s="103"/>
      <c r="AJ1000" s="103"/>
      <c r="AK1000" s="103"/>
      <c r="AL1000" s="103"/>
      <c r="AM1000" s="103"/>
      <c r="AN1000" s="103"/>
      <c r="AO1000" s="103"/>
      <c r="AP1000" s="103"/>
      <c r="AQ1000" s="103"/>
    </row>
  </sheetData>
  <autoFilter ref="$A$2:$AQ$26">
    <sortState ref="A2:AQ26">
      <sortCondition ref="A2:A26"/>
    </sortState>
  </autoFilter>
  <mergeCells count="13">
    <mergeCell ref="AA1:AB1"/>
    <mergeCell ref="AD1:AE1"/>
    <mergeCell ref="AG1:AH1"/>
    <mergeCell ref="AJ1:AK1"/>
    <mergeCell ref="AM1:AN1"/>
    <mergeCell ref="AP1:AQ1"/>
    <mergeCell ref="F1:G1"/>
    <mergeCell ref="I1:J1"/>
    <mergeCell ref="L1:M1"/>
    <mergeCell ref="O1:P1"/>
    <mergeCell ref="R1:S1"/>
    <mergeCell ref="U1:V1"/>
    <mergeCell ref="X1:Y1"/>
  </mergeCells>
  <conditionalFormatting sqref="B1:B1000">
    <cfRule type="cellIs" dxfId="2" priority="1" operator="between">
      <formula>-1</formula>
      <formula>1</formula>
    </cfRule>
  </conditionalFormatting>
  <conditionalFormatting sqref="B1:B1000">
    <cfRule type="cellIs" dxfId="3" priority="2" operator="greaterThan">
      <formula>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63"/>
    <col customWidth="1" min="2" max="2" width="22.25"/>
    <col customWidth="1" min="3" max="3" width="13.0"/>
    <col customWidth="1" min="4" max="4" width="20.88"/>
    <col customWidth="1" min="5" max="5" width="14.5"/>
    <col customWidth="1" min="6" max="6" width="20.38"/>
    <col customWidth="1" min="7" max="7" width="46.38"/>
  </cols>
  <sheetData>
    <row r="1" ht="15.75" customHeight="1">
      <c r="A1" s="104"/>
      <c r="B1" s="105" t="s">
        <v>122</v>
      </c>
      <c r="C1" s="105" t="s">
        <v>123</v>
      </c>
      <c r="D1" s="106" t="s">
        <v>124</v>
      </c>
      <c r="E1" s="107" t="s">
        <v>125</v>
      </c>
      <c r="F1" s="107" t="s">
        <v>126</v>
      </c>
    </row>
    <row r="2" ht="15.75" customHeight="1">
      <c r="A2" s="46"/>
      <c r="B2" s="108" t="s">
        <v>97</v>
      </c>
      <c r="C2" s="109">
        <f>SUM(C3:C5)</f>
        <v>1</v>
      </c>
      <c r="D2" s="110">
        <f>BALANCE!B4</f>
        <v>1013100</v>
      </c>
      <c r="E2" s="110">
        <f>SUM(E3:E5)</f>
        <v>770427.0833</v>
      </c>
      <c r="F2" s="111">
        <f t="shared" ref="F2:F5" si="1">D2-E2</f>
        <v>242672.9167</v>
      </c>
    </row>
    <row r="3" ht="15.75" customHeight="1">
      <c r="A3" s="46"/>
      <c r="B3" s="105" t="s">
        <v>127</v>
      </c>
      <c r="C3" s="112">
        <v>0.5</v>
      </c>
      <c r="D3" s="113">
        <f t="shared" ref="D3:D5" si="2">$D$2*C3</f>
        <v>506550</v>
      </c>
      <c r="E3" s="113">
        <f t="shared" ref="E3:E5" si="3">SUMIF($E$7:$E$49,B3,$D$7:$D$49)</f>
        <v>397627.0833</v>
      </c>
      <c r="F3" s="107">
        <f t="shared" si="1"/>
        <v>108922.9167</v>
      </c>
    </row>
    <row r="4" ht="15.75" customHeight="1">
      <c r="A4" s="46"/>
      <c r="B4" s="105" t="s">
        <v>128</v>
      </c>
      <c r="C4" s="114">
        <v>0.25</v>
      </c>
      <c r="D4" s="113">
        <f t="shared" si="2"/>
        <v>253275</v>
      </c>
      <c r="E4" s="113">
        <f t="shared" si="3"/>
        <v>240000</v>
      </c>
      <c r="F4" s="107">
        <f t="shared" si="1"/>
        <v>13275</v>
      </c>
    </row>
    <row r="5" ht="15.75" customHeight="1">
      <c r="A5" s="46"/>
      <c r="B5" s="105" t="s">
        <v>129</v>
      </c>
      <c r="C5" s="114">
        <v>0.25</v>
      </c>
      <c r="D5" s="113">
        <f t="shared" si="2"/>
        <v>253275</v>
      </c>
      <c r="E5" s="113">
        <f t="shared" si="3"/>
        <v>132800</v>
      </c>
      <c r="F5" s="107">
        <f t="shared" si="1"/>
        <v>120475</v>
      </c>
    </row>
    <row r="6" ht="15.75" customHeight="1">
      <c r="A6" s="46"/>
      <c r="B6" s="115" t="s">
        <v>130</v>
      </c>
      <c r="C6" s="116" t="s">
        <v>131</v>
      </c>
      <c r="D6" s="115" t="s">
        <v>132</v>
      </c>
      <c r="E6" s="116" t="s">
        <v>122</v>
      </c>
      <c r="F6" s="117" t="s">
        <v>133</v>
      </c>
      <c r="G6" s="117" t="s">
        <v>134</v>
      </c>
    </row>
    <row r="7" ht="15.75" customHeight="1">
      <c r="A7" s="44"/>
      <c r="B7" s="118" t="s">
        <v>135</v>
      </c>
      <c r="C7" s="119">
        <v>45247.0</v>
      </c>
      <c r="D7" s="118">
        <v>36000.0</v>
      </c>
      <c r="E7" s="118" t="s">
        <v>128</v>
      </c>
      <c r="F7" s="118"/>
      <c r="G7" s="120" t="s">
        <v>136</v>
      </c>
    </row>
    <row r="8" ht="15.75" customHeight="1">
      <c r="A8" s="44"/>
      <c r="B8" s="118" t="s">
        <v>137</v>
      </c>
      <c r="C8" s="121">
        <v>45248.0</v>
      </c>
      <c r="D8" s="118">
        <v>22900.0</v>
      </c>
      <c r="E8" s="118" t="s">
        <v>129</v>
      </c>
      <c r="F8" s="118"/>
      <c r="G8" s="118" t="s">
        <v>138</v>
      </c>
    </row>
    <row r="9" ht="15.75" customHeight="1">
      <c r="A9" s="44"/>
      <c r="B9" s="118" t="s">
        <v>139</v>
      </c>
      <c r="C9" s="121">
        <v>45252.0</v>
      </c>
      <c r="D9" s="118">
        <v>5000.0</v>
      </c>
      <c r="E9" s="118" t="s">
        <v>129</v>
      </c>
      <c r="F9" s="118"/>
      <c r="G9" s="118" t="s">
        <v>140</v>
      </c>
    </row>
    <row r="10" ht="15.75" customHeight="1">
      <c r="A10" s="44"/>
      <c r="B10" s="118" t="s">
        <v>141</v>
      </c>
      <c r="C10" s="121">
        <v>45253.0</v>
      </c>
      <c r="D10" s="118">
        <v>64000.0</v>
      </c>
      <c r="E10" s="118" t="s">
        <v>129</v>
      </c>
      <c r="F10" s="118"/>
      <c r="G10" s="118" t="s">
        <v>142</v>
      </c>
    </row>
    <row r="11" ht="15.75" customHeight="1">
      <c r="A11" s="44"/>
      <c r="B11" s="118" t="s">
        <v>143</v>
      </c>
      <c r="C11" s="121">
        <v>45256.0</v>
      </c>
      <c r="D11" s="118">
        <v>25000.0</v>
      </c>
      <c r="E11" s="118" t="s">
        <v>127</v>
      </c>
      <c r="F11" s="120" t="s">
        <v>98</v>
      </c>
      <c r="G11" s="118" t="s">
        <v>144</v>
      </c>
    </row>
    <row r="12" ht="15.75" customHeight="1">
      <c r="A12" s="44"/>
      <c r="B12" s="118" t="s">
        <v>145</v>
      </c>
      <c r="C12" s="121">
        <v>45256.0</v>
      </c>
      <c r="D12" s="118">
        <v>25000.0</v>
      </c>
      <c r="E12" s="118" t="s">
        <v>127</v>
      </c>
      <c r="F12" s="120" t="s">
        <v>107</v>
      </c>
      <c r="G12" s="118" t="s">
        <v>144</v>
      </c>
    </row>
    <row r="13" ht="15.75" customHeight="1">
      <c r="A13" s="44"/>
      <c r="B13" s="118" t="s">
        <v>146</v>
      </c>
      <c r="C13" s="121">
        <v>45256.0</v>
      </c>
      <c r="D13" s="118">
        <v>49500.0</v>
      </c>
      <c r="E13" s="118" t="s">
        <v>127</v>
      </c>
      <c r="F13" s="120" t="s">
        <v>117</v>
      </c>
      <c r="G13" s="118" t="s">
        <v>147</v>
      </c>
    </row>
    <row r="14" ht="15.75" customHeight="1">
      <c r="A14" s="44"/>
      <c r="B14" s="118" t="s">
        <v>148</v>
      </c>
      <c r="C14" s="121">
        <v>45256.0</v>
      </c>
      <c r="D14" s="118">
        <v>17000.0</v>
      </c>
      <c r="E14" s="118" t="s">
        <v>127</v>
      </c>
      <c r="F14" s="120" t="s">
        <v>121</v>
      </c>
      <c r="G14" s="118" t="s">
        <v>144</v>
      </c>
    </row>
    <row r="15" ht="15.75" customHeight="1">
      <c r="A15" s="44"/>
      <c r="B15" s="118" t="s">
        <v>149</v>
      </c>
      <c r="C15" s="119">
        <v>45261.0</v>
      </c>
      <c r="D15" s="118">
        <v>51000.0</v>
      </c>
      <c r="E15" s="118" t="s">
        <v>128</v>
      </c>
      <c r="F15" s="118"/>
      <c r="G15" s="118" t="s">
        <v>150</v>
      </c>
    </row>
    <row r="16" ht="15.75" customHeight="1">
      <c r="A16" s="44"/>
      <c r="B16" s="118" t="s">
        <v>149</v>
      </c>
      <c r="C16" s="119">
        <v>45263.0</v>
      </c>
      <c r="D16" s="118">
        <v>51000.0</v>
      </c>
      <c r="E16" s="118" t="s">
        <v>128</v>
      </c>
      <c r="F16" s="118"/>
      <c r="G16" s="118" t="s">
        <v>151</v>
      </c>
    </row>
    <row r="17" ht="15.75" customHeight="1">
      <c r="A17" s="44"/>
      <c r="B17" s="118" t="s">
        <v>152</v>
      </c>
      <c r="C17" s="119">
        <v>45266.0</v>
      </c>
      <c r="D17" s="118">
        <v>14000.0</v>
      </c>
      <c r="E17" s="120" t="s">
        <v>128</v>
      </c>
      <c r="F17" s="118"/>
      <c r="G17" s="118" t="s">
        <v>153</v>
      </c>
    </row>
    <row r="18" ht="15.75" customHeight="1">
      <c r="A18" s="44"/>
      <c r="B18" s="118" t="s">
        <v>152</v>
      </c>
      <c r="C18" s="122">
        <v>45267.0</v>
      </c>
      <c r="D18" s="118">
        <v>14000.0</v>
      </c>
      <c r="E18" s="120" t="s">
        <v>128</v>
      </c>
      <c r="F18" s="118"/>
      <c r="G18" s="118" t="s">
        <v>153</v>
      </c>
    </row>
    <row r="19" ht="15.75" customHeight="1">
      <c r="A19" s="44"/>
      <c r="B19" s="118" t="s">
        <v>154</v>
      </c>
      <c r="C19" s="119">
        <v>45267.0</v>
      </c>
      <c r="D19" s="118">
        <v>18000.0</v>
      </c>
      <c r="E19" s="118" t="s">
        <v>129</v>
      </c>
      <c r="F19" s="118"/>
      <c r="G19" s="118" t="s">
        <v>155</v>
      </c>
    </row>
    <row r="20" ht="15.75" customHeight="1">
      <c r="A20" s="44"/>
      <c r="B20" s="118" t="s">
        <v>156</v>
      </c>
      <c r="C20" s="119">
        <v>45268.0</v>
      </c>
      <c r="D20" s="118">
        <v>33322.0</v>
      </c>
      <c r="E20" s="118" t="s">
        <v>127</v>
      </c>
      <c r="F20" s="120" t="s">
        <v>99</v>
      </c>
      <c r="G20" s="118" t="s">
        <v>157</v>
      </c>
    </row>
    <row r="21" ht="15.75" customHeight="1">
      <c r="A21" s="44"/>
      <c r="B21" s="118" t="s">
        <v>158</v>
      </c>
      <c r="C21" s="119">
        <v>45268.0</v>
      </c>
      <c r="D21" s="118">
        <f>24039-6141</f>
        <v>17898</v>
      </c>
      <c r="E21" s="118" t="s">
        <v>127</v>
      </c>
      <c r="F21" s="120" t="s">
        <v>101</v>
      </c>
      <c r="G21" s="118" t="s">
        <v>157</v>
      </c>
    </row>
    <row r="22" ht="15.75" customHeight="1">
      <c r="A22" s="44"/>
      <c r="B22" s="118" t="s">
        <v>159</v>
      </c>
      <c r="C22" s="119">
        <v>45268.0</v>
      </c>
      <c r="D22" s="118">
        <f>25543-6141+781-6000</f>
        <v>14183</v>
      </c>
      <c r="E22" s="118" t="s">
        <v>127</v>
      </c>
      <c r="F22" s="120" t="s">
        <v>106</v>
      </c>
      <c r="G22" s="118" t="s">
        <v>157</v>
      </c>
    </row>
    <row r="23" ht="15.75" customHeight="1">
      <c r="A23" s="44"/>
      <c r="B23" s="118" t="s">
        <v>160</v>
      </c>
      <c r="C23" s="119">
        <v>45268.0</v>
      </c>
      <c r="D23" s="118">
        <v>20000.0</v>
      </c>
      <c r="E23" s="118" t="s">
        <v>127</v>
      </c>
      <c r="F23" s="120" t="s">
        <v>112</v>
      </c>
      <c r="G23" s="118" t="s">
        <v>157</v>
      </c>
    </row>
    <row r="24" ht="15.75" customHeight="1">
      <c r="A24" s="44"/>
      <c r="B24" s="123" t="s">
        <v>156</v>
      </c>
      <c r="C24" s="119">
        <v>45270.0</v>
      </c>
      <c r="D24" s="118">
        <v>780.75</v>
      </c>
      <c r="E24" s="118" t="s">
        <v>127</v>
      </c>
      <c r="F24" s="120" t="s">
        <v>99</v>
      </c>
      <c r="G24" s="118" t="s">
        <v>161</v>
      </c>
    </row>
    <row r="25" ht="15.75" customHeight="1">
      <c r="A25" s="44"/>
      <c r="B25" s="118" t="s">
        <v>158</v>
      </c>
      <c r="C25" s="119">
        <v>45270.0</v>
      </c>
      <c r="D25" s="118">
        <v>780.75</v>
      </c>
      <c r="E25" s="118" t="s">
        <v>127</v>
      </c>
      <c r="F25" s="120" t="s">
        <v>101</v>
      </c>
      <c r="G25" s="118" t="s">
        <v>161</v>
      </c>
    </row>
    <row r="26" ht="15.75" customHeight="1">
      <c r="A26" s="44"/>
      <c r="B26" s="118" t="s">
        <v>162</v>
      </c>
      <c r="C26" s="119">
        <v>45270.0</v>
      </c>
      <c r="D26" s="118">
        <v>6666.0</v>
      </c>
      <c r="E26" s="118" t="s">
        <v>127</v>
      </c>
      <c r="F26" s="120" t="s">
        <v>102</v>
      </c>
      <c r="G26" s="118" t="s">
        <v>161</v>
      </c>
    </row>
    <row r="27" ht="15.75" customHeight="1">
      <c r="A27" s="44"/>
      <c r="B27" s="118" t="s">
        <v>163</v>
      </c>
      <c r="C27" s="119">
        <v>45270.0</v>
      </c>
      <c r="D27" s="118">
        <v>6666.0</v>
      </c>
      <c r="E27" s="118" t="s">
        <v>127</v>
      </c>
      <c r="F27" s="120" t="s">
        <v>104</v>
      </c>
      <c r="G27" s="118" t="s">
        <v>161</v>
      </c>
    </row>
    <row r="28" ht="15.75" customHeight="1">
      <c r="A28" s="44"/>
      <c r="B28" s="118" t="s">
        <v>164</v>
      </c>
      <c r="C28" s="119">
        <v>45270.0</v>
      </c>
      <c r="D28" s="118">
        <v>6666.0</v>
      </c>
      <c r="E28" s="118" t="s">
        <v>127</v>
      </c>
      <c r="F28" s="120" t="s">
        <v>105</v>
      </c>
      <c r="G28" s="118" t="s">
        <v>161</v>
      </c>
    </row>
    <row r="29" ht="15.75" customHeight="1">
      <c r="A29" s="46"/>
      <c r="B29" s="118" t="s">
        <v>164</v>
      </c>
      <c r="C29" s="119">
        <v>45270.0</v>
      </c>
      <c r="D29" s="118">
        <v>40010.0</v>
      </c>
      <c r="E29" s="118" t="s">
        <v>127</v>
      </c>
      <c r="F29" s="120" t="s">
        <v>105</v>
      </c>
      <c r="G29" s="118" t="s">
        <v>157</v>
      </c>
    </row>
    <row r="30" ht="15.75" customHeight="1">
      <c r="A30" s="46"/>
      <c r="B30" s="118" t="s">
        <v>145</v>
      </c>
      <c r="C30" s="119">
        <v>45270.0</v>
      </c>
      <c r="D30" s="118">
        <v>6666.0</v>
      </c>
      <c r="E30" s="118" t="s">
        <v>127</v>
      </c>
      <c r="F30" s="120" t="s">
        <v>107</v>
      </c>
      <c r="G30" s="118" t="s">
        <v>161</v>
      </c>
    </row>
    <row r="31" ht="15.75" customHeight="1">
      <c r="A31" s="46"/>
      <c r="B31" s="123" t="s">
        <v>165</v>
      </c>
      <c r="C31" s="119">
        <v>45270.0</v>
      </c>
      <c r="D31" s="118">
        <v>781.25</v>
      </c>
      <c r="E31" s="118" t="s">
        <v>127</v>
      </c>
      <c r="F31" s="120" t="s">
        <v>109</v>
      </c>
      <c r="G31" s="118" t="s">
        <v>161</v>
      </c>
    </row>
    <row r="32" ht="15.75" customHeight="1">
      <c r="A32" s="46"/>
      <c r="B32" s="118" t="s">
        <v>160</v>
      </c>
      <c r="C32" s="119">
        <v>45270.0</v>
      </c>
      <c r="D32" s="118">
        <v>670.0</v>
      </c>
      <c r="E32" s="118" t="s">
        <v>127</v>
      </c>
      <c r="F32" s="120" t="s">
        <v>112</v>
      </c>
      <c r="G32" s="118" t="s">
        <v>161</v>
      </c>
    </row>
    <row r="33" ht="15.75" customHeight="1">
      <c r="A33" s="46"/>
      <c r="B33" s="123" t="s">
        <v>166</v>
      </c>
      <c r="C33" s="119">
        <v>45270.0</v>
      </c>
      <c r="D33" s="118">
        <v>3889.583333333333</v>
      </c>
      <c r="E33" s="118" t="s">
        <v>127</v>
      </c>
      <c r="F33" s="120" t="s">
        <v>113</v>
      </c>
      <c r="G33" s="118" t="s">
        <v>161</v>
      </c>
    </row>
    <row r="34" ht="15.75" customHeight="1">
      <c r="A34" s="46"/>
      <c r="B34" s="118" t="s">
        <v>167</v>
      </c>
      <c r="C34" s="119">
        <v>45270.0</v>
      </c>
      <c r="D34" s="118">
        <v>6666.0</v>
      </c>
      <c r="E34" s="118" t="s">
        <v>127</v>
      </c>
      <c r="F34" s="120" t="s">
        <v>114</v>
      </c>
      <c r="G34" s="118" t="s">
        <v>161</v>
      </c>
    </row>
    <row r="35" ht="15.75" customHeight="1">
      <c r="A35" s="44"/>
      <c r="B35" s="123" t="s">
        <v>168</v>
      </c>
      <c r="C35" s="119">
        <v>45270.0</v>
      </c>
      <c r="D35" s="118">
        <v>781.25</v>
      </c>
      <c r="E35" s="118" t="s">
        <v>127</v>
      </c>
      <c r="F35" s="120" t="s">
        <v>116</v>
      </c>
      <c r="G35" s="118" t="s">
        <v>161</v>
      </c>
    </row>
    <row r="36" ht="15.75" customHeight="1">
      <c r="A36" s="44"/>
      <c r="B36" s="123" t="s">
        <v>169</v>
      </c>
      <c r="C36" s="119">
        <v>45270.0</v>
      </c>
      <c r="D36" s="118">
        <v>781.25</v>
      </c>
      <c r="E36" s="118" t="s">
        <v>127</v>
      </c>
      <c r="F36" s="120" t="s">
        <v>118</v>
      </c>
      <c r="G36" s="118" t="s">
        <v>161</v>
      </c>
    </row>
    <row r="37" ht="15.75" customHeight="1">
      <c r="A37" s="44"/>
      <c r="B37" s="123" t="s">
        <v>170</v>
      </c>
      <c r="C37" s="119">
        <v>45270.0</v>
      </c>
      <c r="D37" s="118">
        <v>781.25</v>
      </c>
      <c r="E37" s="118" t="s">
        <v>127</v>
      </c>
      <c r="F37" s="120" t="s">
        <v>119</v>
      </c>
      <c r="G37" s="118" t="s">
        <v>161</v>
      </c>
    </row>
    <row r="38" ht="15.75" customHeight="1">
      <c r="A38" s="44"/>
      <c r="B38" s="118" t="s">
        <v>171</v>
      </c>
      <c r="C38" s="119">
        <v>45270.0</v>
      </c>
      <c r="D38" s="118">
        <v>6666.0</v>
      </c>
      <c r="E38" s="118" t="s">
        <v>127</v>
      </c>
      <c r="F38" s="120" t="s">
        <v>120</v>
      </c>
      <c r="G38" s="118" t="s">
        <v>161</v>
      </c>
    </row>
    <row r="39" ht="15.75" customHeight="1">
      <c r="A39" s="44"/>
      <c r="B39" s="118" t="s">
        <v>171</v>
      </c>
      <c r="C39" s="119">
        <v>45270.0</v>
      </c>
      <c r="D39" s="118">
        <v>8472.0</v>
      </c>
      <c r="E39" s="118" t="s">
        <v>127</v>
      </c>
      <c r="F39" s="120" t="s">
        <v>120</v>
      </c>
      <c r="G39" s="118" t="s">
        <v>157</v>
      </c>
    </row>
    <row r="40" ht="15.75" customHeight="1">
      <c r="A40" s="44"/>
      <c r="B40" s="118" t="s">
        <v>172</v>
      </c>
      <c r="C40" s="119">
        <v>45272.0</v>
      </c>
      <c r="D40" s="118">
        <v>14000.0</v>
      </c>
      <c r="E40" s="118" t="s">
        <v>128</v>
      </c>
      <c r="F40" s="118"/>
      <c r="G40" s="118" t="s">
        <v>173</v>
      </c>
    </row>
    <row r="41" ht="15.75" customHeight="1">
      <c r="A41" s="44"/>
      <c r="B41" s="118" t="s">
        <v>174</v>
      </c>
      <c r="C41" s="119">
        <v>45272.0</v>
      </c>
      <c r="D41" s="118">
        <v>15000.0</v>
      </c>
      <c r="E41" s="120" t="s">
        <v>128</v>
      </c>
      <c r="F41" s="118"/>
      <c r="G41" s="118" t="s">
        <v>175</v>
      </c>
    </row>
    <row r="42" ht="15.75" customHeight="1">
      <c r="A42" s="44"/>
      <c r="B42" s="118" t="s">
        <v>176</v>
      </c>
      <c r="C42" s="119">
        <v>45272.0</v>
      </c>
      <c r="D42" s="118">
        <v>17500.0</v>
      </c>
      <c r="E42" s="120" t="s">
        <v>128</v>
      </c>
      <c r="F42" s="118"/>
      <c r="G42" s="118" t="s">
        <v>177</v>
      </c>
    </row>
    <row r="43" ht="15.75" customHeight="1">
      <c r="A43" s="44"/>
      <c r="B43" s="118" t="s">
        <v>178</v>
      </c>
      <c r="C43" s="119">
        <v>45272.0</v>
      </c>
      <c r="D43" s="118">
        <v>17500.0</v>
      </c>
      <c r="E43" s="120" t="s">
        <v>128</v>
      </c>
      <c r="F43" s="118"/>
      <c r="G43" s="118" t="s">
        <v>179</v>
      </c>
    </row>
    <row r="44" ht="15.75" customHeight="1">
      <c r="A44" s="44"/>
      <c r="B44" s="118" t="s">
        <v>180</v>
      </c>
      <c r="C44" s="119">
        <v>45272.0</v>
      </c>
      <c r="D44" s="118">
        <v>10000.0</v>
      </c>
      <c r="E44" s="120" t="s">
        <v>128</v>
      </c>
      <c r="F44" s="118"/>
      <c r="G44" s="118" t="s">
        <v>181</v>
      </c>
    </row>
    <row r="45" ht="15.75" customHeight="1">
      <c r="A45" s="44"/>
      <c r="B45" s="118" t="s">
        <v>143</v>
      </c>
      <c r="C45" s="119">
        <v>45275.0</v>
      </c>
      <c r="D45" s="118">
        <v>38000.0</v>
      </c>
      <c r="E45" s="118" t="s">
        <v>127</v>
      </c>
      <c r="F45" s="120" t="s">
        <v>98</v>
      </c>
      <c r="G45" s="118" t="s">
        <v>182</v>
      </c>
    </row>
    <row r="46" ht="15.75" customHeight="1">
      <c r="A46" s="44"/>
      <c r="B46" s="118" t="s">
        <v>145</v>
      </c>
      <c r="C46" s="119">
        <v>45275.0</v>
      </c>
      <c r="D46" s="118">
        <v>24000.0</v>
      </c>
      <c r="E46" s="118" t="s">
        <v>127</v>
      </c>
      <c r="F46" s="120" t="s">
        <v>107</v>
      </c>
      <c r="G46" s="118" t="s">
        <v>182</v>
      </c>
    </row>
    <row r="47" ht="15.75" customHeight="1">
      <c r="A47" s="44"/>
      <c r="B47" s="118" t="s">
        <v>183</v>
      </c>
      <c r="C47" s="119">
        <v>45275.0</v>
      </c>
      <c r="D47" s="118">
        <v>10000.0</v>
      </c>
      <c r="E47" s="118" t="s">
        <v>127</v>
      </c>
      <c r="F47" s="120" t="s">
        <v>117</v>
      </c>
      <c r="G47" s="118" t="s">
        <v>184</v>
      </c>
    </row>
    <row r="48" ht="15.75" customHeight="1">
      <c r="A48" s="44"/>
      <c r="B48" s="118" t="s">
        <v>137</v>
      </c>
      <c r="C48" s="122">
        <v>45278.0</v>
      </c>
      <c r="D48" s="118">
        <v>22900.0</v>
      </c>
      <c r="E48" s="118" t="s">
        <v>129</v>
      </c>
      <c r="F48" s="118"/>
      <c r="G48" s="118" t="s">
        <v>138</v>
      </c>
    </row>
    <row r="49" ht="15.75" customHeight="1">
      <c r="A49" s="44"/>
      <c r="B49" s="118" t="s">
        <v>185</v>
      </c>
      <c r="C49" s="119">
        <v>45278.0</v>
      </c>
      <c r="D49" s="118">
        <v>26000.0</v>
      </c>
      <c r="E49" s="118" t="s">
        <v>127</v>
      </c>
      <c r="F49" s="120" t="s">
        <v>108</v>
      </c>
      <c r="G49" s="118" t="s">
        <v>186</v>
      </c>
    </row>
  </sheetData>
  <autoFilter ref="$B$6:$G$49">
    <sortState ref="B6:G49">
      <sortCondition ref="C6:C49"/>
      <sortCondition ref="B6:B49"/>
    </sortState>
  </autoFilter>
  <mergeCells count="5">
    <mergeCell ref="F1:G1"/>
    <mergeCell ref="F2:G2"/>
    <mergeCell ref="F3:G3"/>
    <mergeCell ref="F4:G4"/>
    <mergeCell ref="F5:G5"/>
  </mergeCells>
  <drawing r:id="rId1"/>
</worksheet>
</file>