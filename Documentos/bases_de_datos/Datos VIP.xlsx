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mportantes" sheetId="1" r:id="rId5"/>
    <sheet state="visible" name="Cumpleaños VIP" sheetId="2" r:id="rId6"/>
    <sheet state="visible" name="Integrantes comités" sheetId="3" r:id="rId7"/>
  </sheets>
  <definedNames>
    <definedName hidden="1" localSheetId="0" name="_xlnm._FilterDatabase">'Datos Importantes'!$A$1:$J$27</definedName>
  </definedNames>
  <calcPr/>
</workbook>
</file>

<file path=xl/sharedStrings.xml><?xml version="1.0" encoding="utf-8"?>
<sst xmlns="http://schemas.openxmlformats.org/spreadsheetml/2006/main" count="297" uniqueCount="232">
  <si>
    <t>Nombre completo</t>
  </si>
  <si>
    <t>Carrera</t>
  </si>
  <si>
    <t>Documento</t>
  </si>
  <si>
    <t>email</t>
  </si>
  <si>
    <t>Cumpleaños</t>
  </si>
  <si>
    <t>teléfono</t>
  </si>
  <si>
    <t>RH</t>
  </si>
  <si>
    <t>Comités(a día de 24/04)</t>
  </si>
  <si>
    <t>Contacto de emergencia 1</t>
  </si>
  <si>
    <t>Contacto de emergencia 2</t>
  </si>
  <si>
    <t>Daniel Felipe Garnica Abreo</t>
  </si>
  <si>
    <t>Ingeniería electrónica</t>
  </si>
  <si>
    <t>C.C.1000224209</t>
  </si>
  <si>
    <t>fgarnica.a06@gmail.com</t>
  </si>
  <si>
    <t>O+</t>
  </si>
  <si>
    <t>Inventario y Mantenimiento</t>
  </si>
  <si>
    <t>311 881 2538 (Padre, Wilser Garnica)</t>
  </si>
  <si>
    <t>320 442 9286 (Primo, Nicolás Garnica)</t>
  </si>
  <si>
    <t>Diego Bernal</t>
  </si>
  <si>
    <t>Geología</t>
  </si>
  <si>
    <t>C.C.1001297510</t>
  </si>
  <si>
    <t>dbernald@unal.edu.co</t>
  </si>
  <si>
    <t>A+</t>
  </si>
  <si>
    <t>Astroprojects,Indumentaria,Telescopios</t>
  </si>
  <si>
    <t>320 301 0118 (Alba Daza)</t>
  </si>
  <si>
    <t>314 508 8348 (Andrés Bernal)</t>
  </si>
  <si>
    <t>Edward Velasco</t>
  </si>
  <si>
    <t>Ciencias de la computación</t>
  </si>
  <si>
    <t>C.C.1085900267</t>
  </si>
  <si>
    <t>evelascon@unal.edu.co</t>
  </si>
  <si>
    <t>AB+</t>
  </si>
  <si>
    <t>Artículos,Astroprojects,Cuarto Oscuro,Minicursos,Telescopios</t>
  </si>
  <si>
    <t>Felipe Muñoz</t>
  </si>
  <si>
    <t>Física</t>
  </si>
  <si>
    <t>C.C.1000205743</t>
  </si>
  <si>
    <t>femunozh@unal.edu.co</t>
  </si>
  <si>
    <t>O-</t>
  </si>
  <si>
    <t>Astrolectura,Inventario y Mantenimiento,Tesorería,Ética</t>
  </si>
  <si>
    <t>313 547 6052 (Fabio)</t>
  </si>
  <si>
    <t>320 689 3908 (Mabel)</t>
  </si>
  <si>
    <t>Hernan Munar</t>
  </si>
  <si>
    <t>Matemáticas</t>
  </si>
  <si>
    <t>T.I.1028884754</t>
  </si>
  <si>
    <t>hmunar@unal.edu.co</t>
  </si>
  <si>
    <t>Artículos,Charlas,Cuarto Oscuro</t>
  </si>
  <si>
    <t>313 487 5432</t>
  </si>
  <si>
    <t>320 855 7061</t>
  </si>
  <si>
    <t>Islena Bonilla</t>
  </si>
  <si>
    <t>Administrativa</t>
  </si>
  <si>
    <t>ibonillag@unal.edu.co</t>
  </si>
  <si>
    <t>Jesus Lagusa</t>
  </si>
  <si>
    <t>Música</t>
  </si>
  <si>
    <t>C.C.1013687909</t>
  </si>
  <si>
    <t>starhouse901@gmail.com</t>
  </si>
  <si>
    <t>Bienestar,Charlas,Indumentaria,Inventario y Mantenimiento,Telescopios</t>
  </si>
  <si>
    <t>Johann Sánchez</t>
  </si>
  <si>
    <t>C.C.1010162932</t>
  </si>
  <si>
    <t>josanchezn@unal.edu.co</t>
  </si>
  <si>
    <t>Indumentaria,Inventario y Mantenimiento</t>
  </si>
  <si>
    <t>312 629 7802 (Padre)</t>
  </si>
  <si>
    <t>311 275 9217 (Madre)</t>
  </si>
  <si>
    <t>Joseph Niño</t>
  </si>
  <si>
    <t>C.C.1105462588</t>
  </si>
  <si>
    <t>jninoh@unal.edu.co</t>
  </si>
  <si>
    <t>B+</t>
  </si>
  <si>
    <t>Artículos,Astroprojects,Bienestar,Cuarto Oscuro,Divulgación,Telescopios,Tesorería</t>
  </si>
  <si>
    <t>314 487 8062 (Viviana Herrera, madre)</t>
  </si>
  <si>
    <t>319 241 2427 (Mauricio Niño, padre)</t>
  </si>
  <si>
    <t>Juan Garavito</t>
  </si>
  <si>
    <t>C.C.1018479315</t>
  </si>
  <si>
    <t>jugaravitom@unal.edu.co</t>
  </si>
  <si>
    <t>Artículos,Astrolectura,Cuarto Oscuro,Minicursos,Tesorería,Ética</t>
  </si>
  <si>
    <t>314 265 7516 (Laura Mora)</t>
  </si>
  <si>
    <t>317 365 4806 (María Muñoz)</t>
  </si>
  <si>
    <t>Juan Rodríguez</t>
  </si>
  <si>
    <t>Ingeniero Físico</t>
  </si>
  <si>
    <t>C.C 1007476300</t>
  </si>
  <si>
    <t>djuan832@gmail.com</t>
  </si>
  <si>
    <t>Administración,Astroprojects,Charlas,Inventario y Mantenimiento,Redes</t>
  </si>
  <si>
    <t>316 743 6421 (Ervin Rodríguez)</t>
  </si>
  <si>
    <t>350 747 5374 (Pablo Alejandro Rodríguez)</t>
  </si>
  <si>
    <t>Juanita Forero</t>
  </si>
  <si>
    <t>C.C.1072648871</t>
  </si>
  <si>
    <t>k.foreror@uniandes.edu.co</t>
  </si>
  <si>
    <t>Administración,Cuarto Oscuro,Redes</t>
  </si>
  <si>
    <t>Julián Acosta</t>
  </si>
  <si>
    <t>C.C.1013692327</t>
  </si>
  <si>
    <t>juacostaca@unal.edu.co</t>
  </si>
  <si>
    <t>Bienestar,Telescopios</t>
  </si>
  <si>
    <t>Juliana Zúñiga</t>
  </si>
  <si>
    <t>C.C.1032800049</t>
  </si>
  <si>
    <t>juzunigac@unal.edu.co</t>
  </si>
  <si>
    <t>Astroprojects,Indumentaria,Tesorería</t>
  </si>
  <si>
    <t>313 459 9860 (Luz Myriam Cruz)</t>
  </si>
  <si>
    <t>310 550 1260 (Henrry Zúñiga)</t>
  </si>
  <si>
    <t>Laura Jimenez</t>
  </si>
  <si>
    <t>C.C.1001219029</t>
  </si>
  <si>
    <t>ljimenezpr@unal.edu.co</t>
  </si>
  <si>
    <t>Artículos,Divulgación,Indumentaria,Minicursos,Redes</t>
  </si>
  <si>
    <t>320 242 8030 (Madre)</t>
  </si>
  <si>
    <t>Luis Barbosa</t>
  </si>
  <si>
    <t>C.C.1000019623</t>
  </si>
  <si>
    <t>lbarbosaa@unal.edu.co</t>
  </si>
  <si>
    <t>Astroprojects,Bienestar,Divulgación,Indumentaria,Tesorería</t>
  </si>
  <si>
    <t>312 377 9058 (Madre)</t>
  </si>
  <si>
    <t>313 229 4798 (Hermana)</t>
  </si>
  <si>
    <t>Luis Rodríguez</t>
  </si>
  <si>
    <t>Terapia ocupacional</t>
  </si>
  <si>
    <t>C.C.1010035692</t>
  </si>
  <si>
    <t>lrodriguezco@unal.edu.co</t>
  </si>
  <si>
    <t>Charlas,Cuarto Oscuro,Redes,Telescopios</t>
  </si>
  <si>
    <t>Nicolle Arévalo</t>
  </si>
  <si>
    <t>Colegio</t>
  </si>
  <si>
    <t>C.C.1012918868</t>
  </si>
  <si>
    <t>nicollearevalo420@gmail.com</t>
  </si>
  <si>
    <t>Bienestar,Charlas,Cuarto Oscuro,Divulgación,Indumentaria,Redes,Telescopios</t>
  </si>
  <si>
    <t>320 445 5804 (mamá)</t>
  </si>
  <si>
    <t>316 733 5286 (abuela)</t>
  </si>
  <si>
    <t>Pedro Urrutia</t>
  </si>
  <si>
    <t>Ingeniería civil</t>
  </si>
  <si>
    <t>C.C.1002760532</t>
  </si>
  <si>
    <t>purrutia@unal.edu.co</t>
  </si>
  <si>
    <t>Administración,Bienestar,Cuarto Oscuro,Indumentaria,Redes,Telescopios</t>
  </si>
  <si>
    <t>Samuel Noreña</t>
  </si>
  <si>
    <t>C.C.1141115136</t>
  </si>
  <si>
    <t>s.norenat@uniandes.edu.co</t>
  </si>
  <si>
    <t>Administración,Artículos,Telescopios</t>
  </si>
  <si>
    <t>310 322 9361 (Diana Téllez)</t>
  </si>
  <si>
    <t>"+1 (240) 893-4766" (Litzzy Romero)</t>
  </si>
  <si>
    <t>Santiago Vargas</t>
  </si>
  <si>
    <t>PhD graduate</t>
  </si>
  <si>
    <t>svargasd@unal.edu.co</t>
  </si>
  <si>
    <t>Artículos,Cuarto Oscuro</t>
  </si>
  <si>
    <t>Sara Cortés</t>
  </si>
  <si>
    <t>Ingeniería mecatrónica</t>
  </si>
  <si>
    <t>C.C.1010000378</t>
  </si>
  <si>
    <t>saracortesneira@gmail.com</t>
  </si>
  <si>
    <t>Astrolectura,Astroprojects,Charlas,Inventario y Mantenimiento,Redes</t>
  </si>
  <si>
    <t>314 333 1437 (Julieth Neira)</t>
  </si>
  <si>
    <t xml:space="preserve"> 310 428 1770 (Sergio Cifuentes)</t>
  </si>
  <si>
    <t>Sebastián Lozano</t>
  </si>
  <si>
    <t>Biología</t>
  </si>
  <si>
    <t>C.C.1033763712</t>
  </si>
  <si>
    <t>juslozanoma@unal.edu.co</t>
  </si>
  <si>
    <t>Astrolectura,Cuarto Oscuro,Inventario y Mantenimiento,Redes,Tesorería</t>
  </si>
  <si>
    <t>322 478 27 55 (Madre)</t>
  </si>
  <si>
    <t>313 835 3456 (amiga, Patricia)</t>
  </si>
  <si>
    <t>Sofía Nuñez</t>
  </si>
  <si>
    <t>C.C.1011095478</t>
  </si>
  <si>
    <t>sonunezm@unal.edu.co</t>
  </si>
  <si>
    <t>Astrolectura,Charlas,Cuarto Oscuro,Redes,Tesorería,Ética</t>
  </si>
  <si>
    <t>301 822 9649 (Luz Nuñez)</t>
  </si>
  <si>
    <t>321 366 6434 (Alejandro Cárdenas)</t>
  </si>
  <si>
    <t>Yeimy Telles</t>
  </si>
  <si>
    <t>Contaduría</t>
  </si>
  <si>
    <t>C.C.1001286530</t>
  </si>
  <si>
    <t>ytelles@unal.edu.co</t>
  </si>
  <si>
    <t>Administración,Bienestar,Charlas,Cuarto Oscuro,Inventario y Mantenimiento,Tesorería</t>
  </si>
  <si>
    <t>313 486 0415 (Mamá)</t>
  </si>
  <si>
    <t>311 853 8772 (Papá)</t>
  </si>
  <si>
    <t>Nombre</t>
  </si>
  <si>
    <t>Fecha cumpleaños</t>
  </si>
  <si>
    <t xml:space="preserve">Jana Benavides </t>
  </si>
  <si>
    <t>Farmacia</t>
  </si>
  <si>
    <t xml:space="preserve">Johann Sánchez </t>
  </si>
  <si>
    <t>Estadística</t>
  </si>
  <si>
    <t xml:space="preserve">Daniel Poveda </t>
  </si>
  <si>
    <t xml:space="preserve">Cristian Gómez </t>
  </si>
  <si>
    <t>Juan David Vargas</t>
  </si>
  <si>
    <t>Juliana Zuñiga</t>
  </si>
  <si>
    <t>Daniel Felipe Garnica</t>
  </si>
  <si>
    <t>Felipe Gómez</t>
  </si>
  <si>
    <t>Administración de empresas</t>
  </si>
  <si>
    <t>Sara Cortes</t>
  </si>
  <si>
    <t>Ingeniería mecánica</t>
  </si>
  <si>
    <t>Laura Jiménez</t>
  </si>
  <si>
    <t>Santiago Fonseca</t>
  </si>
  <si>
    <t>Hernán Munar</t>
  </si>
  <si>
    <t>Karol Juanita Forero Rozo</t>
  </si>
  <si>
    <t>Vanessa Hernández</t>
  </si>
  <si>
    <t>Medicina</t>
  </si>
  <si>
    <t>Estudiante</t>
  </si>
  <si>
    <t xml:space="preserve">Felipe Rodríguez </t>
  </si>
  <si>
    <t xml:space="preserve">Juan Diego Rodríguez </t>
  </si>
  <si>
    <t>Luis Miguel Barbosa</t>
  </si>
  <si>
    <t>Jesús Ospina</t>
  </si>
  <si>
    <t>Cine y TV</t>
  </si>
  <si>
    <t xml:space="preserve">Pedro Urrutia </t>
  </si>
  <si>
    <t>Sofia</t>
  </si>
  <si>
    <t>mecatronica</t>
  </si>
  <si>
    <t>Docente</t>
  </si>
  <si>
    <t xml:space="preserve">Nombre </t>
  </si>
  <si>
    <t>Comité Administrativo</t>
  </si>
  <si>
    <t>Comité de Ética</t>
  </si>
  <si>
    <t>Comité de Tesorería</t>
  </si>
  <si>
    <t>Comité de Indumentarias</t>
  </si>
  <si>
    <t>Comité de Charlas</t>
  </si>
  <si>
    <t>Comité de Telescopios</t>
  </si>
  <si>
    <t>Comité de Astrochaza</t>
  </si>
  <si>
    <t>Comité de Astroescritura</t>
  </si>
  <si>
    <t>Comité de Astrolectura</t>
  </si>
  <si>
    <t>Comité de Astroprojects</t>
  </si>
  <si>
    <t>Comité de Convocatorias</t>
  </si>
  <si>
    <t>Comité de Divulgación</t>
  </si>
  <si>
    <t>Comité de Cuarto Oscuro</t>
  </si>
  <si>
    <t>Comité de Bienestar</t>
  </si>
  <si>
    <t>Comité de Redes Sociales</t>
  </si>
  <si>
    <t>Total VIP´S</t>
  </si>
  <si>
    <t xml:space="preserve">Cristian Camilo Gómez </t>
  </si>
  <si>
    <t>Diego Alejandro Bernal</t>
  </si>
  <si>
    <t>Edward Alexander Velasco</t>
  </si>
  <si>
    <t>Felipe Muñoz Henao</t>
  </si>
  <si>
    <t>Hernan David Munar</t>
  </si>
  <si>
    <t>Jesus Steven Lagusa</t>
  </si>
  <si>
    <t>Johann David Sánchez</t>
  </si>
  <si>
    <t>Joseph Alejandro Niño</t>
  </si>
  <si>
    <t>Juan Diego Rodríguez</t>
  </si>
  <si>
    <t>Juan Pablo Garavito</t>
  </si>
  <si>
    <t>Juan Sebastián Lozano</t>
  </si>
  <si>
    <t>Julián David Acosta</t>
  </si>
  <si>
    <t>Juliana Zúñiga Cruz</t>
  </si>
  <si>
    <t>Laura Daniela Jimenez</t>
  </si>
  <si>
    <t>Laura Nicoll Telles Merchán</t>
  </si>
  <si>
    <t>Luis Felipe Rodríguez</t>
  </si>
  <si>
    <t>Maira Fernanda Arias</t>
  </si>
  <si>
    <t>Pedro Luis Urrutia</t>
  </si>
  <si>
    <t>Samuel Felipe Noreña</t>
  </si>
  <si>
    <t>Sara Catalina Cortés</t>
  </si>
  <si>
    <t>Sofía Nuñez Montenegro</t>
  </si>
  <si>
    <t>Valerie Nicolle Arévalo</t>
  </si>
  <si>
    <t>Yeimy Paola Telles</t>
  </si>
  <si>
    <t>Total Comités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</si>
</sst>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d-m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Questrial"/>
    </font>
    <font>
      <color theme="1"/>
      <name val="Questrial"/>
    </font>
    <font>
      <color theme="1"/>
      <name val="Arial"/>
    </font>
    <font>
      <sz val="10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wrapText="1"/>
    </xf>
    <xf borderId="0" fillId="0" fontId="3" numFmtId="165" xfId="0" applyAlignment="1" applyFont="1" applyNumberFormat="1">
      <alignment horizontal="center"/>
    </xf>
    <xf borderId="0" fillId="0" fontId="4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6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2">
    <tableStyle count="4" pivot="0" name="Datos Importa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ntegrantes comité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7" displayName="Integrantes" name="Integrantes" id="1">
  <autoFilter ref="$A$1:$J$27"/>
  <tableColumns count="10">
    <tableColumn name="Nombre completo" id="1"/>
    <tableColumn name="Carrera" id="2"/>
    <tableColumn name="Documento" id="3"/>
    <tableColumn name="email" id="4"/>
    <tableColumn name="Cumpleaños" id="5"/>
    <tableColumn name="teléfono" id="6"/>
    <tableColumn name="RH" id="7"/>
    <tableColumn name="Comités(a día de 24/04)" id="8"/>
    <tableColumn name="Contacto de emergencia 1" id="9"/>
    <tableColumn name="Contacto de emergencia 2" id="10"/>
  </tableColumns>
  <tableStyleInfo name="Datos Importante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A28" displayName="Table_1" name="Table_1" id="2">
  <tableColumns count="1">
    <tableColumn name="Column1" id="1"/>
  </tableColumns>
  <tableStyleInfo name="Integrantes comité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25"/>
    <col customWidth="1" min="2" max="2" width="23.5"/>
    <col customWidth="1" min="3" max="3" width="14.63"/>
    <col customWidth="1" min="4" max="4" width="24.63"/>
    <col customWidth="1" min="5" max="5" width="14.88"/>
    <col customWidth="1" min="7" max="7" width="7.75"/>
    <col customWidth="1" min="8" max="8" width="65.38"/>
    <col customWidth="1" min="9" max="9" width="31.13"/>
    <col customWidth="1" min="10" max="10" width="3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 ht="22.5" customHeight="1">
      <c r="A2" s="4" t="s">
        <v>10</v>
      </c>
      <c r="B2" s="4" t="s">
        <v>11</v>
      </c>
      <c r="C2" s="4" t="s">
        <v>12</v>
      </c>
      <c r="D2" s="4" t="s">
        <v>13</v>
      </c>
      <c r="E2" s="4"/>
      <c r="F2" s="4">
        <v>3.176646372E9</v>
      </c>
      <c r="G2" s="4" t="s">
        <v>14</v>
      </c>
      <c r="H2" s="4" t="s">
        <v>15</v>
      </c>
      <c r="I2" s="4" t="s">
        <v>16</v>
      </c>
      <c r="J2" s="4" t="s">
        <v>17</v>
      </c>
    </row>
    <row r="3" ht="22.5" customHeight="1">
      <c r="A3" s="4" t="s">
        <v>18</v>
      </c>
      <c r="B3" s="4" t="s">
        <v>19</v>
      </c>
      <c r="C3" s="4" t="s">
        <v>20</v>
      </c>
      <c r="D3" s="4" t="s">
        <v>21</v>
      </c>
      <c r="E3" s="4"/>
      <c r="F3" s="4">
        <v>3.213017825E9</v>
      </c>
      <c r="G3" s="4" t="s">
        <v>22</v>
      </c>
      <c r="H3" s="4" t="s">
        <v>23</v>
      </c>
      <c r="I3" s="4" t="s">
        <v>24</v>
      </c>
      <c r="J3" s="4" t="s">
        <v>25</v>
      </c>
    </row>
    <row r="4" ht="22.5" customHeight="1">
      <c r="A4" s="4" t="s">
        <v>26</v>
      </c>
      <c r="B4" s="4" t="s">
        <v>27</v>
      </c>
      <c r="C4" s="4" t="s">
        <v>28</v>
      </c>
      <c r="D4" s="4" t="s">
        <v>29</v>
      </c>
      <c r="E4" s="4"/>
      <c r="F4" s="4">
        <v>3.156359099E9</v>
      </c>
      <c r="G4" s="4" t="s">
        <v>30</v>
      </c>
      <c r="H4" s="4" t="s">
        <v>31</v>
      </c>
    </row>
    <row r="5" ht="22.5" customHeight="1">
      <c r="A5" s="4" t="s">
        <v>32</v>
      </c>
      <c r="B5" s="4" t="s">
        <v>33</v>
      </c>
      <c r="C5" s="4" t="s">
        <v>34</v>
      </c>
      <c r="D5" s="4" t="s">
        <v>35</v>
      </c>
      <c r="E5" s="4"/>
      <c r="F5" s="4">
        <v>3.023532955E9</v>
      </c>
      <c r="G5" s="4" t="s">
        <v>36</v>
      </c>
      <c r="H5" s="4" t="s">
        <v>37</v>
      </c>
      <c r="I5" s="4" t="s">
        <v>38</v>
      </c>
      <c r="J5" s="4" t="s">
        <v>39</v>
      </c>
    </row>
    <row r="6" ht="22.5" customHeight="1">
      <c r="A6" s="4" t="s">
        <v>40</v>
      </c>
      <c r="B6" s="4" t="s">
        <v>41</v>
      </c>
      <c r="C6" s="4" t="s">
        <v>42</v>
      </c>
      <c r="D6" s="4" t="s">
        <v>43</v>
      </c>
      <c r="E6" s="4"/>
      <c r="F6" s="4">
        <v>3.247284962E9</v>
      </c>
      <c r="G6" s="4" t="s">
        <v>14</v>
      </c>
      <c r="H6" s="4" t="s">
        <v>44</v>
      </c>
      <c r="I6" s="4" t="s">
        <v>45</v>
      </c>
      <c r="J6" s="4" t="s">
        <v>46</v>
      </c>
    </row>
    <row r="7" ht="22.5" customHeight="1">
      <c r="A7" s="4" t="s">
        <v>47</v>
      </c>
      <c r="B7" s="4" t="s">
        <v>48</v>
      </c>
      <c r="D7" s="4" t="s">
        <v>49</v>
      </c>
      <c r="E7" s="4"/>
      <c r="F7" s="4">
        <v>3.132136014E9</v>
      </c>
      <c r="G7" s="4" t="s">
        <v>22</v>
      </c>
    </row>
    <row r="8" ht="22.5" customHeight="1">
      <c r="A8" s="4" t="s">
        <v>50</v>
      </c>
      <c r="B8" s="4" t="s">
        <v>51</v>
      </c>
      <c r="C8" s="4" t="s">
        <v>52</v>
      </c>
      <c r="D8" s="4" t="s">
        <v>53</v>
      </c>
      <c r="E8" s="4"/>
      <c r="F8" s="4">
        <v>3.19252228E9</v>
      </c>
      <c r="G8" s="4" t="s">
        <v>22</v>
      </c>
      <c r="H8" s="4" t="s">
        <v>54</v>
      </c>
    </row>
    <row r="9" ht="22.5" customHeight="1">
      <c r="A9" s="4" t="s">
        <v>55</v>
      </c>
      <c r="B9" s="4" t="s">
        <v>41</v>
      </c>
      <c r="C9" s="4" t="s">
        <v>56</v>
      </c>
      <c r="D9" s="4" t="s">
        <v>57</v>
      </c>
      <c r="E9" s="4"/>
      <c r="F9" s="4">
        <v>3.237855191E9</v>
      </c>
      <c r="G9" s="4" t="s">
        <v>14</v>
      </c>
      <c r="H9" s="4" t="s">
        <v>58</v>
      </c>
      <c r="I9" s="4" t="s">
        <v>59</v>
      </c>
      <c r="J9" s="4" t="s">
        <v>60</v>
      </c>
    </row>
    <row r="10" ht="22.5" customHeight="1">
      <c r="A10" s="4" t="s">
        <v>61</v>
      </c>
      <c r="B10" s="4" t="s">
        <v>33</v>
      </c>
      <c r="C10" s="4" t="s">
        <v>62</v>
      </c>
      <c r="D10" s="4" t="s">
        <v>63</v>
      </c>
      <c r="E10" s="4"/>
      <c r="F10" s="4">
        <v>3.132589129E9</v>
      </c>
      <c r="G10" s="4" t="s">
        <v>64</v>
      </c>
      <c r="H10" s="4" t="s">
        <v>65</v>
      </c>
      <c r="I10" s="4" t="s">
        <v>66</v>
      </c>
      <c r="J10" s="4" t="s">
        <v>67</v>
      </c>
    </row>
    <row r="11" ht="22.5" customHeight="1">
      <c r="A11" s="4" t="s">
        <v>68</v>
      </c>
      <c r="B11" s="4" t="s">
        <v>33</v>
      </c>
      <c r="C11" s="4" t="s">
        <v>69</v>
      </c>
      <c r="D11" s="4" t="s">
        <v>70</v>
      </c>
      <c r="E11" s="4"/>
      <c r="F11" s="4">
        <v>3.00821615E9</v>
      </c>
      <c r="G11" s="4" t="s">
        <v>14</v>
      </c>
      <c r="H11" s="4" t="s">
        <v>71</v>
      </c>
      <c r="I11" s="4" t="s">
        <v>72</v>
      </c>
      <c r="J11" s="4" t="s">
        <v>73</v>
      </c>
    </row>
    <row r="12" ht="22.5" customHeight="1">
      <c r="A12" s="4" t="s">
        <v>74</v>
      </c>
      <c r="B12" s="4" t="s">
        <v>75</v>
      </c>
      <c r="C12" s="4" t="s">
        <v>76</v>
      </c>
      <c r="D12" s="4" t="s">
        <v>77</v>
      </c>
      <c r="E12" s="4"/>
      <c r="F12" s="4">
        <v>3.058667234E9</v>
      </c>
      <c r="G12" s="4" t="s">
        <v>14</v>
      </c>
      <c r="H12" s="4" t="s">
        <v>78</v>
      </c>
      <c r="I12" s="4" t="s">
        <v>79</v>
      </c>
      <c r="J12" s="4" t="s">
        <v>80</v>
      </c>
    </row>
    <row r="13" ht="22.5" customHeight="1">
      <c r="A13" s="4" t="s">
        <v>81</v>
      </c>
      <c r="B13" s="4" t="s">
        <v>33</v>
      </c>
      <c r="C13" s="4" t="s">
        <v>82</v>
      </c>
      <c r="D13" s="4" t="s">
        <v>83</v>
      </c>
      <c r="E13" s="4"/>
      <c r="F13" s="4">
        <v>3.10807093E9</v>
      </c>
      <c r="G13" s="4" t="s">
        <v>14</v>
      </c>
      <c r="H13" s="4" t="s">
        <v>84</v>
      </c>
    </row>
    <row r="14" ht="22.5" customHeight="1">
      <c r="A14" s="4" t="s">
        <v>85</v>
      </c>
      <c r="B14" s="4" t="s">
        <v>19</v>
      </c>
      <c r="C14" s="4" t="s">
        <v>86</v>
      </c>
      <c r="D14" s="4" t="s">
        <v>87</v>
      </c>
      <c r="E14" s="4"/>
      <c r="F14" s="4">
        <v>3.142487304E9</v>
      </c>
      <c r="G14" s="4" t="s">
        <v>22</v>
      </c>
      <c r="H14" s="4" t="s">
        <v>88</v>
      </c>
      <c r="I14" s="4"/>
    </row>
    <row r="15" ht="22.5" customHeight="1">
      <c r="A15" s="4" t="s">
        <v>89</v>
      </c>
      <c r="B15" s="4" t="s">
        <v>11</v>
      </c>
      <c r="C15" s="4" t="s">
        <v>90</v>
      </c>
      <c r="D15" s="4" t="s">
        <v>91</v>
      </c>
      <c r="E15" s="4"/>
      <c r="F15" s="4">
        <v>3.123085153E9</v>
      </c>
      <c r="G15" s="4" t="s">
        <v>14</v>
      </c>
      <c r="H15" s="4" t="s">
        <v>92</v>
      </c>
      <c r="I15" s="4" t="s">
        <v>93</v>
      </c>
      <c r="J15" s="4" t="s">
        <v>94</v>
      </c>
    </row>
    <row r="16" ht="22.5" customHeight="1">
      <c r="A16" s="4" t="s">
        <v>95</v>
      </c>
      <c r="B16" s="4" t="s">
        <v>19</v>
      </c>
      <c r="C16" s="4" t="s">
        <v>96</v>
      </c>
      <c r="D16" s="4" t="s">
        <v>97</v>
      </c>
      <c r="E16" s="4"/>
      <c r="F16" s="4">
        <v>3.213249733E9</v>
      </c>
      <c r="G16" s="4" t="s">
        <v>14</v>
      </c>
      <c r="H16" s="4" t="s">
        <v>98</v>
      </c>
      <c r="I16" s="4" t="s">
        <v>99</v>
      </c>
    </row>
    <row r="17" ht="22.5" customHeight="1">
      <c r="A17" s="4" t="s">
        <v>100</v>
      </c>
      <c r="B17" s="4" t="s">
        <v>33</v>
      </c>
      <c r="C17" s="4" t="s">
        <v>101</v>
      </c>
      <c r="D17" s="4" t="s">
        <v>102</v>
      </c>
      <c r="E17" s="4"/>
      <c r="F17" s="4">
        <v>3.214741608E9</v>
      </c>
      <c r="G17" s="4" t="s">
        <v>14</v>
      </c>
      <c r="H17" s="4" t="s">
        <v>103</v>
      </c>
      <c r="I17" s="4" t="s">
        <v>104</v>
      </c>
      <c r="J17" s="4" t="s">
        <v>105</v>
      </c>
    </row>
    <row r="18" ht="22.5" customHeight="1">
      <c r="A18" s="4" t="s">
        <v>106</v>
      </c>
      <c r="B18" s="4" t="s">
        <v>107</v>
      </c>
      <c r="C18" s="4" t="s">
        <v>108</v>
      </c>
      <c r="D18" s="4" t="s">
        <v>109</v>
      </c>
      <c r="E18" s="4"/>
      <c r="F18" s="4">
        <v>3.227662835E9</v>
      </c>
      <c r="G18" s="4" t="s">
        <v>22</v>
      </c>
      <c r="H18" s="4" t="s">
        <v>110</v>
      </c>
    </row>
    <row r="19" ht="22.5" customHeight="1">
      <c r="A19" s="4" t="s">
        <v>111</v>
      </c>
      <c r="B19" s="4" t="s">
        <v>112</v>
      </c>
      <c r="C19" s="4" t="s">
        <v>113</v>
      </c>
      <c r="D19" s="4" t="s">
        <v>114</v>
      </c>
      <c r="E19" s="4"/>
      <c r="F19" s="4">
        <v>3.022396969E9</v>
      </c>
      <c r="G19" s="4" t="s">
        <v>22</v>
      </c>
      <c r="H19" s="4" t="s">
        <v>115</v>
      </c>
      <c r="I19" s="4" t="s">
        <v>116</v>
      </c>
      <c r="J19" s="4" t="s">
        <v>117</v>
      </c>
    </row>
    <row r="20" ht="22.5" customHeight="1">
      <c r="A20" s="4" t="s">
        <v>118</v>
      </c>
      <c r="B20" s="4" t="s">
        <v>119</v>
      </c>
      <c r="C20" s="4" t="s">
        <v>120</v>
      </c>
      <c r="D20" s="4" t="s">
        <v>121</v>
      </c>
      <c r="E20" s="4"/>
      <c r="F20" s="4">
        <v>3.214581266E9</v>
      </c>
      <c r="G20" s="4" t="s">
        <v>22</v>
      </c>
      <c r="H20" s="4" t="s">
        <v>122</v>
      </c>
      <c r="I20" s="4"/>
    </row>
    <row r="21" ht="22.5" customHeight="1">
      <c r="A21" s="4" t="s">
        <v>123</v>
      </c>
      <c r="B21" s="4" t="s">
        <v>33</v>
      </c>
      <c r="C21" s="4" t="s">
        <v>124</v>
      </c>
      <c r="D21" s="4" t="s">
        <v>125</v>
      </c>
      <c r="E21" s="4"/>
      <c r="F21" s="4">
        <v>3.134719058E9</v>
      </c>
      <c r="G21" s="4" t="s">
        <v>14</v>
      </c>
      <c r="H21" s="4" t="s">
        <v>126</v>
      </c>
      <c r="I21" s="4" t="s">
        <v>127</v>
      </c>
      <c r="J21" s="4" t="s">
        <v>128</v>
      </c>
    </row>
    <row r="22" ht="22.5" customHeight="1">
      <c r="A22" s="4" t="s">
        <v>129</v>
      </c>
      <c r="B22" s="4" t="s">
        <v>130</v>
      </c>
      <c r="D22" s="4" t="s">
        <v>131</v>
      </c>
      <c r="E22" s="4"/>
      <c r="F22" s="4">
        <v>3.194923879E9</v>
      </c>
      <c r="G22" s="4" t="s">
        <v>14</v>
      </c>
      <c r="H22" s="4" t="s">
        <v>132</v>
      </c>
    </row>
    <row r="23" ht="22.5" customHeight="1">
      <c r="A23" s="4" t="s">
        <v>133</v>
      </c>
      <c r="B23" s="4" t="s">
        <v>134</v>
      </c>
      <c r="C23" s="4" t="s">
        <v>135</v>
      </c>
      <c r="D23" s="4" t="s">
        <v>136</v>
      </c>
      <c r="E23" s="4"/>
      <c r="F23" s="4">
        <v>3.026896639E9</v>
      </c>
      <c r="G23" s="4" t="s">
        <v>22</v>
      </c>
      <c r="H23" s="4" t="s">
        <v>137</v>
      </c>
      <c r="I23" s="4" t="s">
        <v>138</v>
      </c>
      <c r="J23" s="4" t="s">
        <v>139</v>
      </c>
    </row>
    <row r="24" ht="22.5" customHeight="1">
      <c r="A24" s="4" t="s">
        <v>140</v>
      </c>
      <c r="B24" s="4" t="s">
        <v>141</v>
      </c>
      <c r="C24" s="4" t="s">
        <v>142</v>
      </c>
      <c r="D24" s="4" t="s">
        <v>143</v>
      </c>
      <c r="E24" s="4"/>
      <c r="F24" s="4">
        <v>3.175557122E9</v>
      </c>
      <c r="G24" s="4" t="s">
        <v>14</v>
      </c>
      <c r="H24" s="4" t="s">
        <v>144</v>
      </c>
      <c r="I24" s="4" t="s">
        <v>145</v>
      </c>
      <c r="J24" s="4" t="s">
        <v>146</v>
      </c>
    </row>
    <row r="25" ht="22.5" customHeight="1">
      <c r="A25" s="4" t="s">
        <v>147</v>
      </c>
      <c r="B25" s="4" t="s">
        <v>134</v>
      </c>
      <c r="C25" s="4" t="s">
        <v>148</v>
      </c>
      <c r="D25" s="4" t="s">
        <v>149</v>
      </c>
      <c r="E25" s="4"/>
      <c r="F25" s="4">
        <v>3.018229649E9</v>
      </c>
      <c r="G25" s="4" t="s">
        <v>14</v>
      </c>
      <c r="H25" s="4" t="s">
        <v>150</v>
      </c>
      <c r="I25" s="4" t="s">
        <v>151</v>
      </c>
      <c r="J25" s="4" t="s">
        <v>152</v>
      </c>
    </row>
    <row r="26" ht="22.5" customHeight="1">
      <c r="A26" s="4" t="s">
        <v>153</v>
      </c>
      <c r="B26" s="4" t="s">
        <v>154</v>
      </c>
      <c r="C26" s="4" t="s">
        <v>155</v>
      </c>
      <c r="D26" s="4" t="s">
        <v>156</v>
      </c>
      <c r="E26" s="4"/>
      <c r="F26" s="4">
        <v>3.209689647E9</v>
      </c>
      <c r="G26" s="4" t="s">
        <v>14</v>
      </c>
      <c r="H26" s="4" t="s">
        <v>157</v>
      </c>
      <c r="I26" s="4" t="s">
        <v>158</v>
      </c>
      <c r="J26" s="4" t="s">
        <v>159</v>
      </c>
    </row>
    <row r="27" ht="22.5" customHeight="1">
      <c r="A27" s="5"/>
      <c r="B27" s="5"/>
      <c r="C27" s="5"/>
      <c r="D27" s="5"/>
      <c r="E27" s="5"/>
      <c r="F27" s="5"/>
      <c r="G27" s="5"/>
      <c r="H27" s="5"/>
      <c r="I27" s="5"/>
      <c r="J27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5.25"/>
    <col customWidth="1" min="3" max="3" width="12.63"/>
  </cols>
  <sheetData>
    <row r="1">
      <c r="A1" s="7" t="s">
        <v>160</v>
      </c>
      <c r="B1" s="7" t="s">
        <v>161</v>
      </c>
      <c r="C1" s="7" t="s">
        <v>1</v>
      </c>
    </row>
    <row r="2">
      <c r="A2" s="8" t="s">
        <v>47</v>
      </c>
      <c r="B2" s="9">
        <v>45317.0</v>
      </c>
      <c r="C2" s="10" t="s">
        <v>48</v>
      </c>
    </row>
    <row r="3">
      <c r="A3" s="8" t="s">
        <v>162</v>
      </c>
      <c r="B3" s="9">
        <v>45349.0</v>
      </c>
      <c r="C3" s="10" t="s">
        <v>163</v>
      </c>
    </row>
    <row r="4">
      <c r="A4" s="8" t="s">
        <v>164</v>
      </c>
      <c r="B4" s="9">
        <v>45382.0</v>
      </c>
      <c r="C4" s="10" t="s">
        <v>165</v>
      </c>
    </row>
    <row r="5">
      <c r="A5" s="8" t="s">
        <v>140</v>
      </c>
      <c r="B5" s="9">
        <v>45388.0</v>
      </c>
      <c r="C5" s="10" t="s">
        <v>141</v>
      </c>
    </row>
    <row r="6">
      <c r="A6" s="8" t="s">
        <v>153</v>
      </c>
      <c r="B6" s="9">
        <v>45391.0</v>
      </c>
      <c r="C6" s="10" t="s">
        <v>154</v>
      </c>
    </row>
    <row r="7">
      <c r="A7" s="8" t="s">
        <v>166</v>
      </c>
      <c r="B7" s="9">
        <v>45398.0</v>
      </c>
      <c r="C7" s="10" t="s">
        <v>134</v>
      </c>
    </row>
    <row r="8">
      <c r="A8" s="8" t="s">
        <v>167</v>
      </c>
      <c r="B8" s="9">
        <v>45405.0</v>
      </c>
      <c r="C8" s="10" t="s">
        <v>119</v>
      </c>
    </row>
    <row r="9">
      <c r="A9" s="8" t="s">
        <v>168</v>
      </c>
      <c r="B9" s="9">
        <v>45413.0</v>
      </c>
      <c r="C9" s="10" t="s">
        <v>33</v>
      </c>
    </row>
    <row r="10">
      <c r="A10" s="8" t="s">
        <v>169</v>
      </c>
      <c r="B10" s="9">
        <v>45415.0</v>
      </c>
      <c r="C10" s="10" t="s">
        <v>11</v>
      </c>
    </row>
    <row r="11">
      <c r="A11" s="8" t="s">
        <v>170</v>
      </c>
      <c r="B11" s="9">
        <v>45445.0</v>
      </c>
      <c r="C11" s="10" t="s">
        <v>11</v>
      </c>
    </row>
    <row r="12">
      <c r="A12" s="8" t="s">
        <v>171</v>
      </c>
      <c r="B12" s="9">
        <v>45451.0</v>
      </c>
      <c r="C12" s="10" t="s">
        <v>172</v>
      </c>
    </row>
    <row r="13">
      <c r="A13" s="8" t="s">
        <v>173</v>
      </c>
      <c r="B13" s="9">
        <v>45487.0</v>
      </c>
      <c r="C13" s="10" t="s">
        <v>174</v>
      </c>
    </row>
    <row r="14">
      <c r="A14" s="8" t="s">
        <v>18</v>
      </c>
      <c r="B14" s="9">
        <v>45525.0</v>
      </c>
      <c r="C14" s="10" t="s">
        <v>19</v>
      </c>
    </row>
    <row r="15">
      <c r="A15" s="8" t="s">
        <v>175</v>
      </c>
      <c r="B15" s="9">
        <v>45530.0</v>
      </c>
      <c r="C15" s="10" t="s">
        <v>19</v>
      </c>
    </row>
    <row r="16">
      <c r="A16" s="8" t="s">
        <v>176</v>
      </c>
      <c r="B16" s="9">
        <v>45531.0</v>
      </c>
      <c r="C16" s="10" t="s">
        <v>165</v>
      </c>
    </row>
    <row r="17">
      <c r="A17" s="8" t="s">
        <v>177</v>
      </c>
      <c r="B17" s="9">
        <v>45534.0</v>
      </c>
      <c r="C17" s="10" t="s">
        <v>41</v>
      </c>
    </row>
    <row r="18">
      <c r="A18" s="8" t="s">
        <v>178</v>
      </c>
      <c r="B18" s="9">
        <v>45535.0</v>
      </c>
      <c r="C18" s="10" t="s">
        <v>33</v>
      </c>
    </row>
    <row r="19">
      <c r="A19" s="8" t="s">
        <v>179</v>
      </c>
      <c r="B19" s="11">
        <v>45537.0</v>
      </c>
      <c r="C19" s="10" t="s">
        <v>180</v>
      </c>
    </row>
    <row r="20">
      <c r="A20" s="8" t="s">
        <v>32</v>
      </c>
      <c r="B20" s="9">
        <v>45543.0</v>
      </c>
      <c r="C20" s="10" t="s">
        <v>33</v>
      </c>
    </row>
    <row r="21">
      <c r="A21" s="8" t="s">
        <v>61</v>
      </c>
      <c r="B21" s="9">
        <v>45550.0</v>
      </c>
      <c r="C21" s="10" t="s">
        <v>33</v>
      </c>
    </row>
    <row r="22">
      <c r="A22" s="8" t="s">
        <v>111</v>
      </c>
      <c r="B22" s="9">
        <v>45572.0</v>
      </c>
      <c r="C22" s="10" t="s">
        <v>181</v>
      </c>
    </row>
    <row r="23">
      <c r="A23" s="8" t="s">
        <v>182</v>
      </c>
      <c r="B23" s="9">
        <v>45582.0</v>
      </c>
      <c r="C23" s="10" t="s">
        <v>107</v>
      </c>
    </row>
    <row r="24">
      <c r="A24" s="8" t="s">
        <v>183</v>
      </c>
      <c r="B24" s="9">
        <v>45588.0</v>
      </c>
      <c r="C24" s="12" t="s">
        <v>75</v>
      </c>
    </row>
    <row r="25">
      <c r="A25" s="8" t="s">
        <v>184</v>
      </c>
      <c r="B25" s="9">
        <v>45589.0</v>
      </c>
      <c r="C25" s="10" t="s">
        <v>33</v>
      </c>
    </row>
    <row r="26">
      <c r="A26" s="8" t="s">
        <v>26</v>
      </c>
      <c r="B26" s="9">
        <v>45596.0</v>
      </c>
      <c r="C26" s="10" t="s">
        <v>27</v>
      </c>
    </row>
    <row r="27">
      <c r="A27" s="8" t="s">
        <v>123</v>
      </c>
      <c r="B27" s="9">
        <v>45632.0</v>
      </c>
      <c r="C27" s="10" t="s">
        <v>33</v>
      </c>
    </row>
    <row r="28">
      <c r="A28" s="8" t="s">
        <v>185</v>
      </c>
      <c r="B28" s="13">
        <v>45650.0</v>
      </c>
      <c r="C28" s="10" t="s">
        <v>186</v>
      </c>
    </row>
    <row r="29">
      <c r="A29" s="8" t="s">
        <v>187</v>
      </c>
      <c r="B29" s="9">
        <v>45654.0</v>
      </c>
      <c r="C29" s="10" t="s">
        <v>119</v>
      </c>
    </row>
    <row r="30">
      <c r="A30" s="8" t="s">
        <v>188</v>
      </c>
      <c r="B30" s="14"/>
      <c r="C30" s="10" t="s">
        <v>189</v>
      </c>
    </row>
    <row r="31">
      <c r="A31" s="8" t="s">
        <v>129</v>
      </c>
      <c r="B31" s="14"/>
      <c r="C31" s="10" t="s">
        <v>190</v>
      </c>
    </row>
    <row r="32">
      <c r="A32" s="8"/>
      <c r="B32" s="9"/>
      <c r="C32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75"/>
  </cols>
  <sheetData>
    <row r="1">
      <c r="A1" s="15" t="s">
        <v>191</v>
      </c>
      <c r="B1" s="15" t="s">
        <v>192</v>
      </c>
      <c r="C1" s="15" t="s">
        <v>193</v>
      </c>
      <c r="D1" s="15" t="s">
        <v>194</v>
      </c>
      <c r="E1" s="15" t="s">
        <v>195</v>
      </c>
      <c r="F1" s="15" t="s">
        <v>196</v>
      </c>
      <c r="G1" s="15" t="s">
        <v>197</v>
      </c>
      <c r="H1" s="15" t="s">
        <v>198</v>
      </c>
      <c r="I1" s="15" t="s">
        <v>199</v>
      </c>
      <c r="J1" s="15" t="s">
        <v>200</v>
      </c>
      <c r="K1" s="15" t="s">
        <v>201</v>
      </c>
      <c r="L1" s="15" t="s">
        <v>202</v>
      </c>
      <c r="M1" s="15" t="s">
        <v>203</v>
      </c>
      <c r="N1" s="15" t="s">
        <v>204</v>
      </c>
      <c r="O1" s="15" t="s">
        <v>205</v>
      </c>
      <c r="P1" s="15" t="s">
        <v>206</v>
      </c>
      <c r="Q1" s="15" t="s">
        <v>207</v>
      </c>
    </row>
    <row r="2">
      <c r="A2" s="16" t="s">
        <v>208</v>
      </c>
      <c r="B2" s="17" t="b">
        <v>0</v>
      </c>
      <c r="C2" s="17" t="b">
        <v>0</v>
      </c>
      <c r="D2" s="17" t="b">
        <v>1</v>
      </c>
      <c r="E2" s="17" t="b">
        <v>0</v>
      </c>
      <c r="F2" s="18" t="b">
        <v>0</v>
      </c>
      <c r="G2" s="18" t="b">
        <v>0</v>
      </c>
      <c r="H2" s="18" t="b">
        <v>0</v>
      </c>
      <c r="I2" s="18" t="b">
        <v>0</v>
      </c>
      <c r="J2" s="18" t="b">
        <v>0</v>
      </c>
      <c r="K2" s="18" t="b">
        <v>0</v>
      </c>
      <c r="L2" s="17" t="b">
        <v>0</v>
      </c>
      <c r="M2" s="17" t="b">
        <v>1</v>
      </c>
      <c r="N2" s="17" t="b">
        <v>1</v>
      </c>
      <c r="O2" s="17" t="b">
        <v>1</v>
      </c>
      <c r="P2" s="18" t="b">
        <v>0</v>
      </c>
      <c r="Q2" s="19">
        <f t="shared" ref="Q2:Q27" si="1">COUNTIF(B2:P2, TRUE)</f>
        <v>4</v>
      </c>
    </row>
    <row r="3">
      <c r="A3" s="16" t="s">
        <v>170</v>
      </c>
      <c r="B3" s="17" t="b">
        <v>1</v>
      </c>
      <c r="C3" s="18" t="b">
        <v>0</v>
      </c>
      <c r="D3" s="18" t="b">
        <v>0</v>
      </c>
      <c r="E3" s="18" t="b">
        <v>0</v>
      </c>
      <c r="F3" s="18" t="b">
        <v>0</v>
      </c>
      <c r="G3" s="17" t="b">
        <v>0</v>
      </c>
      <c r="H3" s="17" t="b">
        <v>0</v>
      </c>
      <c r="I3" s="17" t="b">
        <v>1</v>
      </c>
      <c r="J3" s="18" t="b">
        <v>0</v>
      </c>
      <c r="K3" s="17" t="b">
        <v>1</v>
      </c>
      <c r="L3" s="18" t="b">
        <v>0</v>
      </c>
      <c r="M3" s="18" t="b">
        <v>0</v>
      </c>
      <c r="N3" s="18" t="b">
        <v>0</v>
      </c>
      <c r="O3" s="18" t="b">
        <v>0</v>
      </c>
      <c r="P3" s="17" t="b">
        <v>1</v>
      </c>
      <c r="Q3" s="19">
        <f t="shared" si="1"/>
        <v>4</v>
      </c>
    </row>
    <row r="4">
      <c r="A4" s="16" t="s">
        <v>209</v>
      </c>
      <c r="B4" s="17" t="b">
        <v>1</v>
      </c>
      <c r="C4" s="18" t="b">
        <v>0</v>
      </c>
      <c r="D4" s="18" t="b">
        <v>0</v>
      </c>
      <c r="E4" s="17" t="b">
        <v>1</v>
      </c>
      <c r="F4" s="18" t="b">
        <v>0</v>
      </c>
      <c r="G4" s="17" t="b">
        <v>0</v>
      </c>
      <c r="H4" s="18" t="b">
        <v>0</v>
      </c>
      <c r="I4" s="18" t="b">
        <v>0</v>
      </c>
      <c r="J4" s="18" t="b">
        <v>0</v>
      </c>
      <c r="K4" s="17" t="b">
        <v>1</v>
      </c>
      <c r="L4" s="17" t="b">
        <v>0</v>
      </c>
      <c r="M4" s="17" t="b">
        <v>1</v>
      </c>
      <c r="N4" s="18" t="b">
        <v>0</v>
      </c>
      <c r="O4" s="18" t="b">
        <v>0</v>
      </c>
      <c r="P4" s="17" t="b">
        <v>1</v>
      </c>
      <c r="Q4" s="19">
        <f t="shared" si="1"/>
        <v>5</v>
      </c>
    </row>
    <row r="5">
      <c r="A5" s="16" t="s">
        <v>210</v>
      </c>
      <c r="B5" s="17" t="b">
        <v>0</v>
      </c>
      <c r="C5" s="18" t="b">
        <v>0</v>
      </c>
      <c r="D5" s="18" t="b">
        <v>0</v>
      </c>
      <c r="E5" s="18" t="b">
        <v>0</v>
      </c>
      <c r="F5" s="18" t="b">
        <v>0</v>
      </c>
      <c r="G5" s="17" t="b">
        <v>1</v>
      </c>
      <c r="H5" s="17" t="b">
        <v>0</v>
      </c>
      <c r="I5" s="17" t="b">
        <v>0</v>
      </c>
      <c r="J5" s="18" t="b">
        <v>0</v>
      </c>
      <c r="K5" s="17" t="b">
        <v>1</v>
      </c>
      <c r="L5" s="18" t="b">
        <v>0</v>
      </c>
      <c r="M5" s="18" t="b">
        <v>0</v>
      </c>
      <c r="N5" s="17" t="b">
        <v>0</v>
      </c>
      <c r="O5" s="18" t="b">
        <v>0</v>
      </c>
      <c r="P5" s="18" t="b">
        <v>0</v>
      </c>
      <c r="Q5" s="19">
        <f t="shared" si="1"/>
        <v>2</v>
      </c>
    </row>
    <row r="6">
      <c r="A6" s="16" t="s">
        <v>211</v>
      </c>
      <c r="B6" s="18" t="b">
        <v>0</v>
      </c>
      <c r="C6" s="17" t="b">
        <v>1</v>
      </c>
      <c r="D6" s="18" t="b">
        <v>0</v>
      </c>
      <c r="E6" s="18" t="b">
        <v>0</v>
      </c>
      <c r="F6" s="18" t="b">
        <v>0</v>
      </c>
      <c r="G6" s="18" t="b">
        <v>0</v>
      </c>
      <c r="H6" s="18" t="b">
        <v>0</v>
      </c>
      <c r="I6" s="18" t="b">
        <v>0</v>
      </c>
      <c r="J6" s="17" t="b">
        <v>1</v>
      </c>
      <c r="K6" s="17" t="b">
        <v>1</v>
      </c>
      <c r="L6" s="18" t="b">
        <v>0</v>
      </c>
      <c r="M6" s="18" t="b">
        <v>0</v>
      </c>
      <c r="N6" s="18" t="b">
        <v>0</v>
      </c>
      <c r="O6" s="18" t="b">
        <v>0</v>
      </c>
      <c r="P6" s="18" t="b">
        <v>0</v>
      </c>
      <c r="Q6" s="19">
        <f t="shared" si="1"/>
        <v>3</v>
      </c>
    </row>
    <row r="7">
      <c r="A7" s="16" t="s">
        <v>212</v>
      </c>
      <c r="B7" s="18" t="b">
        <v>0</v>
      </c>
      <c r="C7" s="17" t="b">
        <v>1</v>
      </c>
      <c r="D7" s="18" t="b">
        <v>0</v>
      </c>
      <c r="E7" s="18" t="b">
        <v>0</v>
      </c>
      <c r="F7" s="17" t="b">
        <v>0</v>
      </c>
      <c r="G7" s="18" t="b">
        <v>0</v>
      </c>
      <c r="H7" s="17" t="b">
        <v>0</v>
      </c>
      <c r="I7" s="17" t="b">
        <v>1</v>
      </c>
      <c r="J7" s="18" t="b">
        <v>0</v>
      </c>
      <c r="K7" s="18" t="b">
        <v>0</v>
      </c>
      <c r="L7" s="17" t="b">
        <v>0</v>
      </c>
      <c r="M7" s="17" t="b">
        <v>0</v>
      </c>
      <c r="N7" s="17" t="b">
        <v>1</v>
      </c>
      <c r="O7" s="18" t="b">
        <v>0</v>
      </c>
      <c r="P7" s="18" t="b">
        <v>0</v>
      </c>
      <c r="Q7" s="19">
        <f t="shared" si="1"/>
        <v>3</v>
      </c>
    </row>
    <row r="8">
      <c r="A8" s="16" t="s">
        <v>213</v>
      </c>
      <c r="B8" s="18" t="b">
        <v>0</v>
      </c>
      <c r="C8" s="18" t="b">
        <v>0</v>
      </c>
      <c r="D8" s="18" t="b">
        <v>0</v>
      </c>
      <c r="E8" s="17" t="b">
        <v>1</v>
      </c>
      <c r="F8" s="17" t="b">
        <v>1</v>
      </c>
      <c r="G8" s="17" t="b">
        <v>1</v>
      </c>
      <c r="H8" s="18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7" t="b">
        <v>1</v>
      </c>
      <c r="P8" s="18" t="b">
        <v>0</v>
      </c>
      <c r="Q8" s="19">
        <f t="shared" si="1"/>
        <v>4</v>
      </c>
    </row>
    <row r="9">
      <c r="A9" s="16" t="s">
        <v>214</v>
      </c>
      <c r="B9" s="17" t="b">
        <v>1</v>
      </c>
      <c r="C9" s="18" t="b">
        <v>0</v>
      </c>
      <c r="D9" s="18" t="b">
        <v>0</v>
      </c>
      <c r="E9" s="17" t="b">
        <v>1</v>
      </c>
      <c r="F9" s="18" t="b">
        <v>0</v>
      </c>
      <c r="G9" s="18" t="b">
        <v>0</v>
      </c>
      <c r="H9" s="18" t="b">
        <v>0</v>
      </c>
      <c r="I9" s="18" t="b">
        <v>0</v>
      </c>
      <c r="J9" s="18" t="b">
        <v>0</v>
      </c>
      <c r="K9" s="18" t="b">
        <v>0</v>
      </c>
      <c r="L9" s="18" t="b">
        <v>0</v>
      </c>
      <c r="M9" s="18" t="b">
        <v>0</v>
      </c>
      <c r="N9" s="18" t="b">
        <v>0</v>
      </c>
      <c r="O9" s="18" t="b">
        <v>0</v>
      </c>
      <c r="P9" s="18" t="b">
        <v>0</v>
      </c>
      <c r="Q9" s="19">
        <f t="shared" si="1"/>
        <v>2</v>
      </c>
    </row>
    <row r="10">
      <c r="A10" s="16" t="s">
        <v>215</v>
      </c>
      <c r="B10" s="18" t="b">
        <v>0</v>
      </c>
      <c r="C10" s="18" t="b">
        <v>0</v>
      </c>
      <c r="D10" s="17" t="b">
        <v>1</v>
      </c>
      <c r="E10" s="18" t="b">
        <v>0</v>
      </c>
      <c r="F10" s="18" t="b">
        <v>0</v>
      </c>
      <c r="G10" s="17" t="b">
        <v>1</v>
      </c>
      <c r="H10" s="17" t="b">
        <v>0</v>
      </c>
      <c r="I10" s="17" t="b">
        <v>1</v>
      </c>
      <c r="J10" s="18" t="b">
        <v>0</v>
      </c>
      <c r="K10" s="18" t="b">
        <v>0</v>
      </c>
      <c r="L10" s="18" t="b">
        <v>0</v>
      </c>
      <c r="M10" s="18" t="b">
        <v>0</v>
      </c>
      <c r="N10" s="17" t="b">
        <v>1</v>
      </c>
      <c r="O10" s="17" t="b">
        <v>1</v>
      </c>
      <c r="P10" s="18" t="b">
        <v>0</v>
      </c>
      <c r="Q10" s="19">
        <f t="shared" si="1"/>
        <v>5</v>
      </c>
    </row>
    <row r="11">
      <c r="A11" s="16" t="s">
        <v>216</v>
      </c>
      <c r="B11" s="17" t="b">
        <v>1</v>
      </c>
      <c r="C11" s="18" t="b">
        <v>0</v>
      </c>
      <c r="D11" s="18" t="b">
        <v>0</v>
      </c>
      <c r="E11" s="18" t="b">
        <v>0</v>
      </c>
      <c r="F11" s="17" t="b">
        <v>1</v>
      </c>
      <c r="G11" s="17" t="b">
        <v>1</v>
      </c>
      <c r="H11" s="17" t="b">
        <v>0</v>
      </c>
      <c r="I11" s="17" t="b">
        <v>1</v>
      </c>
      <c r="J11" s="18" t="b">
        <v>0</v>
      </c>
      <c r="K11" s="17" t="b">
        <v>0</v>
      </c>
      <c r="L11" s="18" t="b">
        <v>0</v>
      </c>
      <c r="M11" s="18" t="b">
        <v>0</v>
      </c>
      <c r="N11" s="18" t="b">
        <v>0</v>
      </c>
      <c r="O11" s="17" t="b">
        <v>1</v>
      </c>
      <c r="P11" s="18" t="b">
        <v>0</v>
      </c>
      <c r="Q11" s="19">
        <f t="shared" si="1"/>
        <v>5</v>
      </c>
    </row>
    <row r="12">
      <c r="A12" s="16" t="s">
        <v>217</v>
      </c>
      <c r="B12" s="18" t="b">
        <v>0</v>
      </c>
      <c r="C12" s="17" t="b">
        <v>1</v>
      </c>
      <c r="D12" s="18" t="b">
        <v>0</v>
      </c>
      <c r="E12" s="18" t="b">
        <v>0</v>
      </c>
      <c r="F12" s="18" t="b">
        <v>0</v>
      </c>
      <c r="G12" s="17" t="b">
        <v>0</v>
      </c>
      <c r="H12" s="17" t="b">
        <v>0</v>
      </c>
      <c r="I12" s="17" t="b">
        <v>1</v>
      </c>
      <c r="J12" s="17" t="b">
        <v>0</v>
      </c>
      <c r="K12" s="18" t="b">
        <v>0</v>
      </c>
      <c r="L12" s="17" t="b">
        <v>0</v>
      </c>
      <c r="M12" s="17" t="b">
        <v>1</v>
      </c>
      <c r="N12" s="17" t="b">
        <v>0</v>
      </c>
      <c r="O12" s="18" t="b">
        <v>0</v>
      </c>
      <c r="P12" s="18" t="b">
        <v>0</v>
      </c>
      <c r="Q12" s="19">
        <f t="shared" si="1"/>
        <v>3</v>
      </c>
    </row>
    <row r="13">
      <c r="A13" s="16" t="s">
        <v>218</v>
      </c>
      <c r="B13" s="18" t="b">
        <v>0</v>
      </c>
      <c r="C13" s="18" t="b">
        <v>0</v>
      </c>
      <c r="D13" s="17" t="b">
        <v>1</v>
      </c>
      <c r="E13" s="18" t="b">
        <v>0</v>
      </c>
      <c r="F13" s="18" t="b">
        <v>0</v>
      </c>
      <c r="G13" s="18" t="b">
        <v>0</v>
      </c>
      <c r="H13" s="17" t="b">
        <v>0</v>
      </c>
      <c r="I13" s="17" t="b">
        <v>1</v>
      </c>
      <c r="J13" s="17" t="b">
        <v>1</v>
      </c>
      <c r="K13" s="18" t="b">
        <v>0</v>
      </c>
      <c r="L13" s="18" t="b">
        <v>0</v>
      </c>
      <c r="M13" s="18" t="b">
        <v>0</v>
      </c>
      <c r="N13" s="17" t="b">
        <v>1</v>
      </c>
      <c r="O13" s="18" t="b">
        <v>0</v>
      </c>
      <c r="P13" s="18" t="b">
        <v>0</v>
      </c>
      <c r="Q13" s="19">
        <f t="shared" si="1"/>
        <v>4</v>
      </c>
    </row>
    <row r="14">
      <c r="A14" s="16" t="s">
        <v>219</v>
      </c>
      <c r="B14" s="17" t="b">
        <v>1</v>
      </c>
      <c r="C14" s="17" t="b">
        <v>1</v>
      </c>
      <c r="D14" s="18" t="b">
        <v>0</v>
      </c>
      <c r="E14" s="18" t="b">
        <v>0</v>
      </c>
      <c r="F14" s="18" t="b">
        <v>0</v>
      </c>
      <c r="G14" s="17" t="b">
        <v>1</v>
      </c>
      <c r="H14" s="18" t="b">
        <v>0</v>
      </c>
      <c r="I14" s="18" t="b">
        <v>0</v>
      </c>
      <c r="J14" s="17" t="b">
        <v>1</v>
      </c>
      <c r="K14" s="18" t="b">
        <v>0</v>
      </c>
      <c r="L14" s="18" t="b">
        <v>0</v>
      </c>
      <c r="M14" s="18" t="b">
        <v>0</v>
      </c>
      <c r="N14" s="18" t="b">
        <v>0</v>
      </c>
      <c r="O14" s="17" t="b">
        <v>0</v>
      </c>
      <c r="P14" s="18" t="b">
        <v>0</v>
      </c>
      <c r="Q14" s="19">
        <f t="shared" si="1"/>
        <v>4</v>
      </c>
    </row>
    <row r="15">
      <c r="A15" s="16" t="s">
        <v>220</v>
      </c>
      <c r="B15" s="17" t="b">
        <v>1</v>
      </c>
      <c r="C15" s="18" t="b">
        <v>0</v>
      </c>
      <c r="D15" s="17" t="b">
        <v>1</v>
      </c>
      <c r="E15" s="17" t="b">
        <v>0</v>
      </c>
      <c r="F15" s="18" t="b">
        <v>0</v>
      </c>
      <c r="G15" s="18" t="b">
        <v>0</v>
      </c>
      <c r="H15" s="18" t="b">
        <v>0</v>
      </c>
      <c r="I15" s="18" t="b">
        <v>0</v>
      </c>
      <c r="J15" s="18" t="b">
        <v>0</v>
      </c>
      <c r="K15" s="17" t="b">
        <v>1</v>
      </c>
      <c r="L15" s="18" t="b">
        <v>0</v>
      </c>
      <c r="M15" s="18" t="b">
        <v>0</v>
      </c>
      <c r="N15" s="18" t="b">
        <v>0</v>
      </c>
      <c r="O15" s="18" t="b">
        <v>0</v>
      </c>
      <c r="P15" s="18" t="b">
        <v>0</v>
      </c>
      <c r="Q15" s="19">
        <f t="shared" si="1"/>
        <v>3</v>
      </c>
    </row>
    <row r="16">
      <c r="A16" s="16" t="s">
        <v>178</v>
      </c>
      <c r="B16" s="17" t="b">
        <v>1</v>
      </c>
      <c r="C16" s="18" t="b">
        <v>0</v>
      </c>
      <c r="D16" s="18" t="b">
        <v>0</v>
      </c>
      <c r="E16" s="18" t="b">
        <v>0</v>
      </c>
      <c r="F16" s="18" t="b">
        <v>0</v>
      </c>
      <c r="G16" s="18" t="b">
        <v>0</v>
      </c>
      <c r="H16" s="18" t="b">
        <v>0</v>
      </c>
      <c r="I16" s="18" t="b">
        <v>0</v>
      </c>
      <c r="J16" s="18" t="b">
        <v>0</v>
      </c>
      <c r="K16" s="18" t="b">
        <v>0</v>
      </c>
      <c r="L16" s="17" t="b">
        <v>0</v>
      </c>
      <c r="M16" s="17" t="b">
        <v>1</v>
      </c>
      <c r="N16" s="17" t="b">
        <v>0</v>
      </c>
      <c r="O16" s="18" t="b">
        <v>0</v>
      </c>
      <c r="P16" s="17" t="b">
        <v>1</v>
      </c>
      <c r="Q16" s="19">
        <f t="shared" si="1"/>
        <v>3</v>
      </c>
    </row>
    <row r="17">
      <c r="A17" s="16" t="s">
        <v>221</v>
      </c>
      <c r="B17" s="18" t="b">
        <v>0</v>
      </c>
      <c r="C17" s="18" t="b">
        <v>0</v>
      </c>
      <c r="D17" s="17" t="b">
        <v>0</v>
      </c>
      <c r="E17" s="17" t="b">
        <v>1</v>
      </c>
      <c r="F17" s="18" t="b">
        <v>0</v>
      </c>
      <c r="G17" s="18" t="b">
        <v>0</v>
      </c>
      <c r="H17" s="17" t="b">
        <v>0</v>
      </c>
      <c r="I17" s="17" t="b">
        <v>1</v>
      </c>
      <c r="J17" s="18" t="b">
        <v>0</v>
      </c>
      <c r="K17" s="18" t="b">
        <v>0</v>
      </c>
      <c r="L17" s="17" t="b">
        <v>0</v>
      </c>
      <c r="M17" s="17" t="b">
        <v>1</v>
      </c>
      <c r="N17" s="18" t="b">
        <v>0</v>
      </c>
      <c r="O17" s="18" t="b">
        <v>0</v>
      </c>
      <c r="P17" s="17" t="b">
        <v>1</v>
      </c>
      <c r="Q17" s="19">
        <f t="shared" si="1"/>
        <v>4</v>
      </c>
    </row>
    <row r="18">
      <c r="A18" s="16" t="s">
        <v>222</v>
      </c>
      <c r="B18" s="18" t="b">
        <v>0</v>
      </c>
      <c r="C18" s="18" t="b">
        <v>0</v>
      </c>
      <c r="D18" s="17" t="b">
        <v>0</v>
      </c>
      <c r="E18" s="17" t="b">
        <v>1</v>
      </c>
      <c r="F18" s="17" t="b">
        <v>0</v>
      </c>
      <c r="G18" s="17" t="b">
        <v>0</v>
      </c>
      <c r="H18" s="18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7" t="b">
        <v>0</v>
      </c>
      <c r="O18" s="17" t="b">
        <v>1</v>
      </c>
      <c r="P18" s="17" t="b">
        <v>1</v>
      </c>
      <c r="Q18" s="19">
        <f t="shared" si="1"/>
        <v>3</v>
      </c>
    </row>
    <row r="19">
      <c r="A19" s="16" t="s">
        <v>223</v>
      </c>
      <c r="B19" s="18" t="b">
        <v>0</v>
      </c>
      <c r="C19" s="18" t="b">
        <v>0</v>
      </c>
      <c r="D19" s="17" t="b">
        <v>0</v>
      </c>
      <c r="E19" s="17" t="b">
        <v>0</v>
      </c>
      <c r="F19" s="17" t="b">
        <v>1</v>
      </c>
      <c r="G19" s="17" t="b">
        <v>1</v>
      </c>
      <c r="H19" s="18" t="b">
        <v>0</v>
      </c>
      <c r="I19" s="18" t="b">
        <v>0</v>
      </c>
      <c r="J19" s="18" t="b">
        <v>0</v>
      </c>
      <c r="K19" s="17" t="b">
        <v>1</v>
      </c>
      <c r="L19" s="18" t="b">
        <v>0</v>
      </c>
      <c r="M19" s="18" t="b">
        <v>0</v>
      </c>
      <c r="N19" s="17" t="b">
        <v>1</v>
      </c>
      <c r="O19" s="18" t="b">
        <v>0</v>
      </c>
      <c r="P19" s="17" t="b">
        <v>1</v>
      </c>
      <c r="Q19" s="19">
        <f t="shared" si="1"/>
        <v>5</v>
      </c>
    </row>
    <row r="20">
      <c r="A20" s="16" t="s">
        <v>184</v>
      </c>
      <c r="B20" s="18" t="b">
        <v>0</v>
      </c>
      <c r="C20" s="18" t="b">
        <v>0</v>
      </c>
      <c r="D20" s="17" t="b">
        <v>1</v>
      </c>
      <c r="E20" s="17" t="b">
        <v>1</v>
      </c>
      <c r="F20" s="18" t="b">
        <v>0</v>
      </c>
      <c r="G20" s="18" t="b">
        <v>0</v>
      </c>
      <c r="H20" s="18" t="b">
        <v>0</v>
      </c>
      <c r="I20" s="18" t="b">
        <v>0</v>
      </c>
      <c r="J20" s="18" t="b">
        <v>0</v>
      </c>
      <c r="K20" s="18" t="b">
        <v>0</v>
      </c>
      <c r="L20" s="18" t="b">
        <v>0</v>
      </c>
      <c r="M20" s="18" t="b">
        <v>0</v>
      </c>
      <c r="N20" s="18" t="b">
        <v>0</v>
      </c>
      <c r="O20" s="18" t="b">
        <v>0</v>
      </c>
      <c r="P20" s="18" t="b">
        <v>0</v>
      </c>
      <c r="Q20" s="19">
        <f t="shared" si="1"/>
        <v>2</v>
      </c>
    </row>
    <row r="21">
      <c r="A21" s="16" t="s">
        <v>224</v>
      </c>
      <c r="B21" s="17" t="b">
        <v>0</v>
      </c>
      <c r="C21" s="18" t="b">
        <v>0</v>
      </c>
      <c r="D21" s="18" t="b">
        <v>0</v>
      </c>
      <c r="E21" s="17" t="b">
        <v>0</v>
      </c>
      <c r="F21" s="18" t="b">
        <v>0</v>
      </c>
      <c r="G21" s="18" t="b">
        <v>0</v>
      </c>
      <c r="H21" s="18" t="b">
        <v>0</v>
      </c>
      <c r="I21" s="18" t="b">
        <v>0</v>
      </c>
      <c r="J21" s="17" t="b">
        <v>1</v>
      </c>
      <c r="K21" s="18" t="b">
        <v>0</v>
      </c>
      <c r="L21" s="18" t="b">
        <v>0</v>
      </c>
      <c r="M21" s="18" t="b">
        <v>0</v>
      </c>
      <c r="N21" s="17" t="b">
        <v>0</v>
      </c>
      <c r="O21" s="17" t="b">
        <v>1</v>
      </c>
      <c r="P21" s="17" t="b">
        <v>1</v>
      </c>
      <c r="Q21" s="19">
        <f t="shared" si="1"/>
        <v>3</v>
      </c>
    </row>
    <row r="22">
      <c r="A22" s="16" t="s">
        <v>225</v>
      </c>
      <c r="B22" s="17" t="b">
        <v>0</v>
      </c>
      <c r="C22" s="18" t="b">
        <v>0</v>
      </c>
      <c r="D22" s="18" t="b">
        <v>0</v>
      </c>
      <c r="E22" s="17" t="b">
        <v>1</v>
      </c>
      <c r="F22" s="18" t="b">
        <v>0</v>
      </c>
      <c r="G22" s="18" t="b">
        <v>0</v>
      </c>
      <c r="H22" s="18" t="b">
        <v>0</v>
      </c>
      <c r="I22" s="18" t="b">
        <v>0</v>
      </c>
      <c r="J22" s="18" t="b">
        <v>0</v>
      </c>
      <c r="K22" s="18" t="b">
        <v>0</v>
      </c>
      <c r="L22" s="18" t="b">
        <v>0</v>
      </c>
      <c r="M22" s="18" t="b">
        <v>0</v>
      </c>
      <c r="N22" s="17" t="b">
        <v>1</v>
      </c>
      <c r="O22" s="17" t="b">
        <v>1</v>
      </c>
      <c r="P22" s="17" t="b">
        <v>1</v>
      </c>
      <c r="Q22" s="19">
        <f t="shared" si="1"/>
        <v>4</v>
      </c>
    </row>
    <row r="23">
      <c r="A23" s="16" t="s">
        <v>226</v>
      </c>
      <c r="B23" s="17" t="b">
        <v>1</v>
      </c>
      <c r="C23" s="18" t="b">
        <v>0</v>
      </c>
      <c r="D23" s="18" t="b">
        <v>0</v>
      </c>
      <c r="E23" s="18" t="b">
        <v>0</v>
      </c>
      <c r="F23" s="18" t="b">
        <v>0</v>
      </c>
      <c r="G23" s="17" t="b">
        <v>1</v>
      </c>
      <c r="H23" s="18" t="b">
        <v>0</v>
      </c>
      <c r="I23" s="18" t="b">
        <v>0</v>
      </c>
      <c r="J23" s="18" t="b">
        <v>0</v>
      </c>
      <c r="K23" s="18" t="b">
        <v>0</v>
      </c>
      <c r="L23" s="18" t="b">
        <v>0</v>
      </c>
      <c r="M23" s="18" t="b">
        <v>0</v>
      </c>
      <c r="N23" s="18" t="b">
        <v>0</v>
      </c>
      <c r="O23" s="18" t="b">
        <v>0</v>
      </c>
      <c r="P23" s="18" t="b">
        <v>0</v>
      </c>
      <c r="Q23" s="20">
        <f t="shared" si="1"/>
        <v>2</v>
      </c>
    </row>
    <row r="24">
      <c r="A24" s="16" t="s">
        <v>227</v>
      </c>
      <c r="B24" s="18" t="b">
        <v>0</v>
      </c>
      <c r="C24" s="18" t="b">
        <v>0</v>
      </c>
      <c r="D24" s="18" t="b">
        <v>0</v>
      </c>
      <c r="E24" s="18" t="b">
        <v>0</v>
      </c>
      <c r="F24" s="17" t="b">
        <v>0</v>
      </c>
      <c r="G24" s="18" t="b">
        <v>0</v>
      </c>
      <c r="H24" s="18" t="b">
        <v>0</v>
      </c>
      <c r="I24" s="18" t="b">
        <v>0</v>
      </c>
      <c r="J24" s="17" t="b">
        <v>1</v>
      </c>
      <c r="K24" s="17" t="b">
        <v>1</v>
      </c>
      <c r="L24" s="18" t="b">
        <v>0</v>
      </c>
      <c r="M24" s="18" t="b">
        <v>0</v>
      </c>
      <c r="N24" s="18" t="b">
        <v>0</v>
      </c>
      <c r="O24" s="17" t="b">
        <v>1</v>
      </c>
      <c r="P24" s="18" t="b">
        <v>0</v>
      </c>
      <c r="Q24" s="19">
        <f t="shared" si="1"/>
        <v>3</v>
      </c>
    </row>
    <row r="25">
      <c r="A25" s="16" t="s">
        <v>228</v>
      </c>
      <c r="B25" s="18" t="b">
        <v>0</v>
      </c>
      <c r="C25" s="17" t="b">
        <v>0</v>
      </c>
      <c r="D25" s="17" t="b">
        <v>1</v>
      </c>
      <c r="E25" s="18" t="b">
        <v>0</v>
      </c>
      <c r="F25" s="17" t="b">
        <v>1</v>
      </c>
      <c r="G25" s="17" t="b">
        <v>0</v>
      </c>
      <c r="H25" s="17" t="b">
        <v>0</v>
      </c>
      <c r="I25" s="17" t="b">
        <v>1</v>
      </c>
      <c r="J25" s="17" t="b">
        <v>0</v>
      </c>
      <c r="K25" s="18" t="b">
        <v>0</v>
      </c>
      <c r="L25" s="17" t="b">
        <v>0</v>
      </c>
      <c r="M25" s="17" t="b">
        <v>1</v>
      </c>
      <c r="N25" s="17" t="b">
        <v>1</v>
      </c>
      <c r="O25" s="18" t="b">
        <v>0</v>
      </c>
      <c r="P25" s="17" t="b">
        <v>1</v>
      </c>
      <c r="Q25" s="19">
        <f t="shared" si="1"/>
        <v>6</v>
      </c>
    </row>
    <row r="26">
      <c r="A26" s="16" t="s">
        <v>229</v>
      </c>
      <c r="B26" s="17" t="b">
        <v>1</v>
      </c>
      <c r="C26" s="18" t="b">
        <v>0</v>
      </c>
      <c r="D26" s="17" t="b">
        <v>1</v>
      </c>
      <c r="E26" s="17" t="b">
        <v>1</v>
      </c>
      <c r="F26" s="17" t="b">
        <v>1</v>
      </c>
      <c r="G26" s="17" t="b">
        <v>0</v>
      </c>
      <c r="H26" s="18" t="b">
        <v>0</v>
      </c>
      <c r="I26" s="18" t="b">
        <v>0</v>
      </c>
      <c r="J26" s="18" t="b">
        <v>0</v>
      </c>
      <c r="K26" s="18" t="b">
        <v>0</v>
      </c>
      <c r="L26" s="17" t="b">
        <v>0</v>
      </c>
      <c r="M26" s="17" t="b">
        <v>1</v>
      </c>
      <c r="N26" s="17" t="b">
        <v>0</v>
      </c>
      <c r="O26" s="17" t="b">
        <v>1</v>
      </c>
      <c r="P26" s="17" t="b">
        <v>1</v>
      </c>
      <c r="Q26" s="19">
        <f t="shared" si="1"/>
        <v>7</v>
      </c>
    </row>
    <row r="27">
      <c r="A27" s="16" t="s">
        <v>230</v>
      </c>
      <c r="B27" s="17" t="b">
        <v>1</v>
      </c>
      <c r="C27" s="18" t="b">
        <v>0</v>
      </c>
      <c r="D27" s="17" t="b">
        <v>1</v>
      </c>
      <c r="E27" s="18" t="b">
        <v>0</v>
      </c>
      <c r="F27" s="17" t="b">
        <v>1</v>
      </c>
      <c r="G27" s="18" t="b">
        <v>0</v>
      </c>
      <c r="H27" s="17" t="b">
        <v>0</v>
      </c>
      <c r="I27" s="17" t="b">
        <v>1</v>
      </c>
      <c r="J27" s="18" t="b">
        <v>0</v>
      </c>
      <c r="K27" s="18" t="b">
        <v>0</v>
      </c>
      <c r="L27" s="18" t="b">
        <v>0</v>
      </c>
      <c r="M27" s="18" t="b">
        <v>0</v>
      </c>
      <c r="N27" s="17" t="b">
        <v>1</v>
      </c>
      <c r="O27" s="18" t="b">
        <v>0</v>
      </c>
      <c r="P27" s="18" t="b">
        <v>0</v>
      </c>
      <c r="Q27" s="19">
        <f t="shared" si="1"/>
        <v>5</v>
      </c>
    </row>
    <row r="28">
      <c r="A28" s="21" t="s">
        <v>231</v>
      </c>
      <c r="B28" s="22">
        <f t="shared" ref="B28:P28" si="2">COUNTIF(B2:B27, TRUE)</f>
        <v>10</v>
      </c>
      <c r="C28" s="22">
        <f t="shared" si="2"/>
        <v>4</v>
      </c>
      <c r="D28" s="22">
        <f t="shared" si="2"/>
        <v>8</v>
      </c>
      <c r="E28" s="22">
        <f t="shared" si="2"/>
        <v>8</v>
      </c>
      <c r="F28" s="22">
        <f t="shared" si="2"/>
        <v>6</v>
      </c>
      <c r="G28" s="22">
        <f t="shared" si="2"/>
        <v>7</v>
      </c>
      <c r="H28" s="22">
        <f t="shared" si="2"/>
        <v>0</v>
      </c>
      <c r="I28" s="22">
        <f t="shared" si="2"/>
        <v>9</v>
      </c>
      <c r="J28" s="22">
        <f t="shared" si="2"/>
        <v>5</v>
      </c>
      <c r="K28" s="22">
        <f t="shared" si="2"/>
        <v>7</v>
      </c>
      <c r="L28" s="22">
        <f t="shared" si="2"/>
        <v>0</v>
      </c>
      <c r="M28" s="22">
        <f t="shared" si="2"/>
        <v>7</v>
      </c>
      <c r="N28" s="22">
        <f t="shared" si="2"/>
        <v>8</v>
      </c>
      <c r="O28" s="22">
        <f t="shared" si="2"/>
        <v>9</v>
      </c>
      <c r="P28" s="22">
        <f t="shared" si="2"/>
        <v>10</v>
      </c>
    </row>
  </sheetData>
  <conditionalFormatting sqref="B2:P27 Q28">
    <cfRule type="cellIs" dxfId="5" priority="1" operator="equal">
      <formula>"TRUE"</formula>
    </cfRule>
  </conditionalFormatting>
  <conditionalFormatting sqref="Q2:Q27">
    <cfRule type="cellIs" dxfId="6" priority="2" operator="greaterThan">
      <formula>5</formula>
    </cfRule>
  </conditionalFormatting>
  <conditionalFormatting sqref="Q2:Q27">
    <cfRule type="cellIs" dxfId="7" priority="3" operator="lessThanOrEqual">
      <formula>5</formula>
    </cfRule>
  </conditionalFormatting>
  <drawing r:id="rId1"/>
  <tableParts count="1">
    <tablePart r:id="rId3"/>
  </tableParts>
</worksheet>
</file>