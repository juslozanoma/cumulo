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os 3D" sheetId="1" r:id="rId5"/>
    <sheet state="visible" name="Costos" sheetId="2" r:id="rId6"/>
    <sheet state="visible" name="Astrochaza" sheetId="3" r:id="rId7"/>
    <sheet state="visible" name="VIP" sheetId="4" r:id="rId8"/>
    <sheet state="visible" name="Inventario" sheetId="5" r:id="rId9"/>
    <sheet state="visible" name="inventario (operaciones)" sheetId="6" r:id="rId10"/>
  </sheets>
  <definedNames>
    <definedName hidden="1" localSheetId="0" name="_xlnm._FilterDatabase">'Cobros 3D'!$A$2:$R$38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<sst xmlns="http://schemas.openxmlformats.org/spreadsheetml/2006/main" count="320" uniqueCount="145">
  <si>
    <t>Solicitante</t>
  </si>
  <si>
    <t>Marca temporal</t>
  </si>
  <si>
    <t>Descripcion del proyecto</t>
  </si>
  <si>
    <t>Material</t>
  </si>
  <si>
    <t>Color principal</t>
  </si>
  <si>
    <t>Gramos</t>
  </si>
  <si>
    <t>Duracion de la impresion</t>
  </si>
  <si>
    <t>Diseño</t>
  </si>
  <si>
    <t>precio por material</t>
  </si>
  <si>
    <t>precio por tiempo</t>
  </si>
  <si>
    <t>Tipo de proyecto</t>
  </si>
  <si>
    <t>Descuento</t>
  </si>
  <si>
    <t>Precio</t>
  </si>
  <si>
    <t>Costo total</t>
  </si>
  <si>
    <t>Costo de material</t>
  </si>
  <si>
    <t>Costo de tiempo</t>
  </si>
  <si>
    <t>Pago inicial</t>
  </si>
  <si>
    <t>Pago final</t>
  </si>
  <si>
    <t>Edward Velasco</t>
  </si>
  <si>
    <t>Rockie</t>
  </si>
  <si>
    <t>PLA</t>
  </si>
  <si>
    <t>Negro</t>
  </si>
  <si>
    <t>Cúmulo VIP</t>
  </si>
  <si>
    <t>Diego Bernal</t>
  </si>
  <si>
    <t>Spaceman</t>
  </si>
  <si>
    <t>Jesus Steven Ospina</t>
  </si>
  <si>
    <t>Soporte para micrófono</t>
  </si>
  <si>
    <t>PLA glow</t>
  </si>
  <si>
    <t>Verde</t>
  </si>
  <si>
    <t>Diego Forero</t>
  </si>
  <si>
    <t>Pata de bandeja</t>
  </si>
  <si>
    <t>ABS</t>
  </si>
  <si>
    <t>Gris</t>
  </si>
  <si>
    <t>Tercero</t>
  </si>
  <si>
    <t>Nicolle Arévalo</t>
  </si>
  <si>
    <t>Fliptext</t>
  </si>
  <si>
    <t>Felipe Muñoz</t>
  </si>
  <si>
    <t>Caja de maquinilla</t>
  </si>
  <si>
    <t>Blanco</t>
  </si>
  <si>
    <t>Daniel Felipe Garnica</t>
  </si>
  <si>
    <t>Araña</t>
  </si>
  <si>
    <t>Santiago Fonseca</t>
  </si>
  <si>
    <t>Cubierta de vaso</t>
  </si>
  <si>
    <t>Cúmulo</t>
  </si>
  <si>
    <t>Código QR de Cúmulo</t>
  </si>
  <si>
    <t>Proyecto Cúmulo</t>
  </si>
  <si>
    <t>Plantilla para graffiti logo de Cúmulo</t>
  </si>
  <si>
    <t>Medidor de tornillos</t>
  </si>
  <si>
    <t>Esquina puerta de la impresora</t>
  </si>
  <si>
    <t>Benchy de tpu</t>
  </si>
  <si>
    <t>TPU 95a</t>
  </si>
  <si>
    <t>Translúcido</t>
  </si>
  <si>
    <t>Sebastián Lozano</t>
  </si>
  <si>
    <t>Impresión desconocida</t>
  </si>
  <si>
    <t>Yeimy Telles</t>
  </si>
  <si>
    <t>Rockie de Project Hail Mary</t>
  </si>
  <si>
    <t>Astrochaza</t>
  </si>
  <si>
    <t>Figuras del espacio</t>
  </si>
  <si>
    <t>Estrellitas</t>
  </si>
  <si>
    <t>Esquina impresora</t>
  </si>
  <si>
    <t>Estrellitas y astronauta</t>
  </si>
  <si>
    <t>Benchy de abs</t>
  </si>
  <si>
    <t>Maria</t>
  </si>
  <si>
    <t>Caja para gafas</t>
  </si>
  <si>
    <t>Gancho secundario celestron</t>
  </si>
  <si>
    <t>Benchy</t>
  </si>
  <si>
    <t>Sara Cortés</t>
  </si>
  <si>
    <t xml:space="preserve">Benchy </t>
  </si>
  <si>
    <t>Tapa de linterna</t>
  </si>
  <si>
    <t>Observatorio</t>
  </si>
  <si>
    <t xml:space="preserve">Prueba tapa enfocador Llinás </t>
  </si>
  <si>
    <t>tapa enfocador llinas</t>
  </si>
  <si>
    <t>mesier</t>
  </si>
  <si>
    <t>prueba de ajuste espejo 16"</t>
  </si>
  <si>
    <t>funda de celular</t>
  </si>
  <si>
    <t>amigo de juliana</t>
  </si>
  <si>
    <t>dispensador</t>
  </si>
  <si>
    <t xml:space="preserve">prueba rodamiento </t>
  </si>
  <si>
    <t>cortador de botellas</t>
  </si>
  <si>
    <t>funda pixel 7 pro</t>
  </si>
  <si>
    <t>TPE 83a</t>
  </si>
  <si>
    <t>Juan Diego Rodríguez</t>
  </si>
  <si>
    <t>trofeo mundial</t>
  </si>
  <si>
    <t>PLA gramos</t>
  </si>
  <si>
    <t>dorado</t>
  </si>
  <si>
    <t>Pedro Urrutia</t>
  </si>
  <si>
    <t>benchy</t>
  </si>
  <si>
    <t>material</t>
  </si>
  <si>
    <t>rollo de 1 kg</t>
  </si>
  <si>
    <t>boquilla por 1kg</t>
  </si>
  <si>
    <t>costo por gramo</t>
  </si>
  <si>
    <t>ganancia por gramo</t>
  </si>
  <si>
    <t>cobro por gramo</t>
  </si>
  <si>
    <t>ganancia por hora</t>
  </si>
  <si>
    <t>diseño</t>
  </si>
  <si>
    <t>costo</t>
  </si>
  <si>
    <t>extra</t>
  </si>
  <si>
    <t>modelo de precios</t>
  </si>
  <si>
    <t>vida útil impresora</t>
  </si>
  <si>
    <t>Proyecto</t>
  </si>
  <si>
    <t>UN</t>
  </si>
  <si>
    <t>Proveedor A</t>
  </si>
  <si>
    <t>descuento VIP</t>
  </si>
  <si>
    <t>araña</t>
  </si>
  <si>
    <t>cobro de 350 por gramo únicamente</t>
  </si>
  <si>
    <t>Elemento</t>
  </si>
  <si>
    <t>Costo</t>
  </si>
  <si>
    <t>Estrella pequeña</t>
  </si>
  <si>
    <t>Luna grande</t>
  </si>
  <si>
    <t>Saturno</t>
  </si>
  <si>
    <t>Cometa grande</t>
  </si>
  <si>
    <t>Estrella grande</t>
  </si>
  <si>
    <t>Cometa mediano</t>
  </si>
  <si>
    <t>Cometa pequeño</t>
  </si>
  <si>
    <t>Luna pequeña</t>
  </si>
  <si>
    <t>Astronauta grande</t>
  </si>
  <si>
    <t>Astronauta pequeño</t>
  </si>
  <si>
    <t>Paquete grande</t>
  </si>
  <si>
    <t>Paquete pequeño</t>
  </si>
  <si>
    <t>Producto Cúmulo</t>
  </si>
  <si>
    <t>Cantidad</t>
  </si>
  <si>
    <t>VIP</t>
  </si>
  <si>
    <t>Impresiones</t>
  </si>
  <si>
    <t>Hernán David Munar</t>
  </si>
  <si>
    <t>Islena</t>
  </si>
  <si>
    <t>Johann Sánchez</t>
  </si>
  <si>
    <t>Joseph Alejandro Niño</t>
  </si>
  <si>
    <t>Juan Pablo Garavito</t>
  </si>
  <si>
    <t>Julián David Acosta</t>
  </si>
  <si>
    <t>Juliana Zúñiga</t>
  </si>
  <si>
    <t>Karol Juanita Forero Rozo</t>
  </si>
  <si>
    <t>Laura Jiménez</t>
  </si>
  <si>
    <t>Laura Nicoll Telles</t>
  </si>
  <si>
    <t>Luis Felipe Rodríguez</t>
  </si>
  <si>
    <t>Luis Miguel Barbosa</t>
  </si>
  <si>
    <t>Maira Arias</t>
  </si>
  <si>
    <t>María Obando</t>
  </si>
  <si>
    <t>Samuel Felipe Noreña</t>
  </si>
  <si>
    <t>Sofía Nuñez</t>
  </si>
  <si>
    <t>Filamento</t>
  </si>
  <si>
    <t>Color</t>
  </si>
  <si>
    <t>cantidad</t>
  </si>
  <si>
    <t>operacion</t>
  </si>
  <si>
    <t>inventariado</t>
  </si>
  <si>
    <t>Naranja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</si>
</sst>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h&quot;:&quot;mm"/>
    <numFmt numFmtId="165" formatCode="&quot;$&quot;#,##0"/>
    <numFmt numFmtId="166" formatCode="&quot;$&quot;#,##0.00"/>
    <numFmt numFmtId="167" formatCode="d/M/yyyy"/>
    <numFmt numFmtId="168" formatCode="0.0"/>
    <numFmt numFmtId="169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color rgb="FF351C75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9" xfId="0" applyAlignment="1" applyFont="1" applyNumberFormat="1">
      <alignment horizontal="center" readingOrder="0" shrinkToFit="0" vertical="center" wrapText="0"/>
    </xf>
    <xf borderId="0" fillId="2" fontId="1" numFmtId="165" xfId="0" applyAlignment="1" applyFill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9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2" fontId="1" numFmtId="166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3" numFmtId="165" xfId="0" applyAlignment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horizontal="center" shrinkToFit="0" vertical="center" wrapText="1"/>
    </xf>
    <xf borderId="0" fillId="0" fontId="3" numFmtId="9" xfId="0" applyAlignment="1" applyFont="1" applyNumberFormat="1">
      <alignment horizontal="center" readingOrder="0" shrinkToFit="0" vertical="center" wrapText="1"/>
    </xf>
    <xf borderId="0" fillId="0" fontId="3" numFmtId="0" xfId="0" applyFont="1"/>
    <xf borderId="0" fillId="0" fontId="3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obros 3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R38" displayName="Form_Responses" name="Form_Responses" id="1">
  <autoFilter ref="$A$2:$R$38">
    <filterColumn colId="10">
      <filters>
        <filter val="Cúmulo VIP"/>
        <filter val="Astrochaza"/>
        <filter val="Tercero"/>
      </filters>
    </filterColumn>
  </autoFilter>
  <tableColumns count="18">
    <tableColumn name="Solicitante" id="1"/>
    <tableColumn name="Marca temporal" id="2"/>
    <tableColumn name="Descripcion del proyecto" id="3"/>
    <tableColumn name="Material" id="4"/>
    <tableColumn name="Color principal" id="5"/>
    <tableColumn name="Gramos" id="6"/>
    <tableColumn name="Duracion de la impresion" id="7"/>
    <tableColumn name="Diseño" id="8"/>
    <tableColumn name="precio por material" id="9"/>
    <tableColumn name="precio por tiempo" id="10"/>
    <tableColumn name="Tipo de proyecto" id="11"/>
    <tableColumn name="Descuento" id="12"/>
    <tableColumn name="Precio" id="13"/>
    <tableColumn name="Costo total" id="14"/>
    <tableColumn name="Costo de material" id="15"/>
    <tableColumn name="Costo de tiempo" id="16"/>
    <tableColumn name="Pago inicial" id="17"/>
    <tableColumn name="Pago final" id="18"/>
  </tableColumns>
  <tableStyleInfo name="Cobros 3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8.88"/>
    <col customWidth="1" min="2" max="2" width="13.25"/>
    <col customWidth="1" min="3" max="3" width="29.13"/>
    <col customWidth="1" min="4" max="4" width="11.25"/>
    <col customWidth="1" min="5" max="5" width="15.5"/>
    <col customWidth="1" min="6" max="6" width="11.13"/>
    <col customWidth="1" min="7" max="7" width="17.75"/>
    <col customWidth="1" min="8" max="8" width="10.5"/>
    <col customWidth="1" min="9" max="9" width="18.13"/>
    <col customWidth="1" min="10" max="10" width="17.5"/>
    <col customWidth="1" min="11" max="11" width="18.0"/>
    <col customWidth="1" min="12" max="13" width="13.25"/>
    <col customWidth="1" min="14" max="14" width="13.13"/>
    <col customWidth="1" min="15" max="15" width="18.88"/>
    <col customWidth="1" min="16" max="16" width="17.0"/>
    <col customWidth="1" min="17" max="17" width="14.25"/>
    <col customWidth="1" min="18" max="18" width="13.0"/>
    <col customWidth="1" min="19" max="20" width="18.88"/>
  </cols>
  <sheetData>
    <row r="1">
      <c r="A1" s="1"/>
      <c r="B1" s="2"/>
      <c r="C1" s="2"/>
      <c r="D1" s="2"/>
      <c r="E1" s="2"/>
      <c r="F1" s="2"/>
      <c r="G1" s="3"/>
      <c r="H1" s="1"/>
      <c r="I1" s="4"/>
      <c r="J1" s="4"/>
      <c r="K1" s="2"/>
      <c r="L1" s="5"/>
      <c r="M1" s="6">
        <f t="shared" ref="M1:N1" si="1">SUMIF(M3:M131, "&gt;0")</f>
        <v>213600</v>
      </c>
      <c r="N1" s="6">
        <f t="shared" si="1"/>
        <v>121923.51</v>
      </c>
      <c r="O1" s="7"/>
      <c r="P1" s="7"/>
      <c r="Q1" s="7"/>
      <c r="R1" s="7"/>
      <c r="S1" s="8"/>
      <c r="T1" s="8"/>
    </row>
    <row r="2" ht="22.5" customHeight="1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1" t="s">
        <v>6</v>
      </c>
      <c r="H2" s="9" t="s">
        <v>7</v>
      </c>
      <c r="I2" s="12" t="s">
        <v>8</v>
      </c>
      <c r="J2" s="12" t="s">
        <v>9</v>
      </c>
      <c r="K2" s="10" t="s">
        <v>10</v>
      </c>
      <c r="L2" s="13" t="s">
        <v>11</v>
      </c>
      <c r="M2" s="14" t="s">
        <v>12</v>
      </c>
      <c r="N2" s="13" t="s">
        <v>13</v>
      </c>
      <c r="O2" s="15" t="s">
        <v>14</v>
      </c>
      <c r="P2" s="15" t="s">
        <v>15</v>
      </c>
      <c r="Q2" s="13" t="s">
        <v>16</v>
      </c>
      <c r="R2" s="13" t="s">
        <v>17</v>
      </c>
      <c r="S2" s="8"/>
      <c r="T2" s="8"/>
    </row>
    <row r="3" ht="22.5" customHeight="1">
      <c r="A3" s="16" t="s">
        <v>18</v>
      </c>
      <c r="B3" s="17">
        <v>46138.504031944445</v>
      </c>
      <c r="C3" s="18" t="s">
        <v>19</v>
      </c>
      <c r="D3" s="18" t="s">
        <v>20</v>
      </c>
      <c r="E3" s="18" t="s">
        <v>21</v>
      </c>
      <c r="F3" s="19">
        <v>24.46</v>
      </c>
      <c r="G3" s="20">
        <v>0.17916666666860692</v>
      </c>
      <c r="H3" s="18">
        <v>0.0</v>
      </c>
      <c r="I3" s="21">
        <f t="array" ref="I3">IF(D3=0,0,XLOOKUP(D3,Costos!$B$3:$B131,Costos!$G$3:$G131)*F3)</f>
        <v>4402.8</v>
      </c>
      <c r="J3" s="21">
        <f>G3*(Costos!$I$2+Costos!$I$3)*24</f>
        <v>5160</v>
      </c>
      <c r="K3" s="18" t="s">
        <v>22</v>
      </c>
      <c r="L3" s="22">
        <f>IF(K3="Cúmulo VIP",Costos!$I$4,0)</f>
        <v>0.2</v>
      </c>
      <c r="M3" s="23">
        <f t="shared" ref="M3:M20" si="2">IF(K3="Proyecto Cúmulo",0,MROUND(SUM(I3:J3)*(1-L3), 100))</f>
        <v>7700</v>
      </c>
      <c r="N3" s="23">
        <f t="shared" ref="N3:N32" si="3">O3+P3</f>
        <v>2958.668</v>
      </c>
      <c r="O3" s="24">
        <f t="array" ref="O3">F3*XLOOKUP(D3,Costos!$B:$B,Costos!$E:$E)</f>
        <v>2098.668</v>
      </c>
      <c r="P3" s="24">
        <f>G3*24*Costos!$I$3</f>
        <v>860</v>
      </c>
      <c r="Q3" s="24"/>
      <c r="R3" s="24"/>
      <c r="S3" s="25"/>
      <c r="T3" s="8"/>
    </row>
    <row r="4" ht="22.5" customHeight="1">
      <c r="A4" s="26" t="s">
        <v>23</v>
      </c>
      <c r="B4" s="27">
        <v>46138.51643383101</v>
      </c>
      <c r="C4" s="28" t="s">
        <v>24</v>
      </c>
      <c r="D4" s="28" t="s">
        <v>20</v>
      </c>
      <c r="E4" s="28" t="s">
        <v>21</v>
      </c>
      <c r="F4" s="29">
        <v>12.54</v>
      </c>
      <c r="G4" s="20">
        <v>0.1930555555591127</v>
      </c>
      <c r="H4" s="28">
        <v>0.0</v>
      </c>
      <c r="I4" s="21">
        <f t="array" ref="I4">IF(D4=0,0,XLOOKUP(D4,Costos!$B$3:$B131,Costos!$G$3:$G131)*F4)</f>
        <v>2257.2</v>
      </c>
      <c r="J4" s="21">
        <f>G4*(Costos!$I$2+Costos!$I$3)*24</f>
        <v>5560</v>
      </c>
      <c r="K4" s="18" t="s">
        <v>22</v>
      </c>
      <c r="L4" s="22">
        <f>IF(K4="Cúmulo VIP",Costos!$I$4,0)</f>
        <v>0.2</v>
      </c>
      <c r="M4" s="23">
        <f t="shared" si="2"/>
        <v>6300</v>
      </c>
      <c r="N4" s="23">
        <f t="shared" si="3"/>
        <v>2002.598667</v>
      </c>
      <c r="O4" s="24">
        <f t="array" ref="O4">F4*XLOOKUP(D4,Costos!$B:$B,Costos!$E:$E)</f>
        <v>1075.932</v>
      </c>
      <c r="P4" s="24">
        <f>G4*24*Costos!$I$3</f>
        <v>926.6666667</v>
      </c>
      <c r="Q4" s="24"/>
      <c r="R4" s="24">
        <v>5500.0</v>
      </c>
      <c r="S4" s="25"/>
      <c r="T4" s="8"/>
    </row>
    <row r="5" ht="22.5" customHeight="1">
      <c r="A5" s="26" t="s">
        <v>25</v>
      </c>
      <c r="B5" s="27">
        <v>46138.520114583334</v>
      </c>
      <c r="C5" s="28" t="s">
        <v>26</v>
      </c>
      <c r="D5" s="28" t="s">
        <v>27</v>
      </c>
      <c r="E5" s="28" t="s">
        <v>28</v>
      </c>
      <c r="F5" s="29">
        <v>26.0</v>
      </c>
      <c r="G5" s="20">
        <v>0.04166666666424135</v>
      </c>
      <c r="H5" s="28">
        <v>0.0</v>
      </c>
      <c r="I5" s="21">
        <f t="array" ref="I5">IF(D5=0,0,XLOOKUP(D5,Costos!$B$3:$B131,Costos!$G$3:$G131)*F5)</f>
        <v>5200</v>
      </c>
      <c r="J5" s="21">
        <f>G5*(Costos!$I$2+Costos!$I$3)*24</f>
        <v>1200</v>
      </c>
      <c r="K5" s="18" t="s">
        <v>22</v>
      </c>
      <c r="L5" s="22">
        <f>IF(K5="Cúmulo VIP",Costos!$I$4,0)</f>
        <v>0.2</v>
      </c>
      <c r="M5" s="23">
        <f t="shared" si="2"/>
        <v>5100</v>
      </c>
      <c r="N5" s="23">
        <f t="shared" si="3"/>
        <v>2843.333333</v>
      </c>
      <c r="O5" s="24">
        <f t="array" ref="O5">F5*XLOOKUP(D5,Costos!$B:$B,Costos!$E:$E)</f>
        <v>2643.333333</v>
      </c>
      <c r="P5" s="24">
        <f>G5*24*Costos!$I$3</f>
        <v>200</v>
      </c>
      <c r="Q5" s="24"/>
      <c r="R5" s="24">
        <v>4500.0</v>
      </c>
      <c r="S5" s="25"/>
      <c r="T5" s="8"/>
    </row>
    <row r="6" ht="22.5" customHeight="1">
      <c r="A6" s="26" t="s">
        <v>29</v>
      </c>
      <c r="B6" s="27">
        <v>46138.52392490741</v>
      </c>
      <c r="C6" s="28" t="s">
        <v>30</v>
      </c>
      <c r="D6" s="28" t="s">
        <v>31</v>
      </c>
      <c r="E6" s="28" t="s">
        <v>32</v>
      </c>
      <c r="F6" s="29">
        <v>18.0</v>
      </c>
      <c r="G6" s="20">
        <v>0.020833333335758653</v>
      </c>
      <c r="H6" s="28">
        <v>0.0</v>
      </c>
      <c r="I6" s="21">
        <f t="array" ref="I6">IF(D6=0,0,XLOOKUP(D6,Costos!$B$3:$B131,Costos!$G$3:$G131)*F6)</f>
        <v>3780</v>
      </c>
      <c r="J6" s="21">
        <f>G6*(Costos!$I$2+Costos!$I$3)*24</f>
        <v>600.0000001</v>
      </c>
      <c r="K6" s="18" t="s">
        <v>33</v>
      </c>
      <c r="L6" s="30">
        <f>IF(K6="Cúmulo VIP",Costos!$I$4,0)</f>
        <v>0</v>
      </c>
      <c r="M6" s="23">
        <f t="shared" si="2"/>
        <v>4400</v>
      </c>
      <c r="N6" s="23">
        <f t="shared" si="3"/>
        <v>1554.4</v>
      </c>
      <c r="O6" s="24">
        <f t="array" ref="O6">F6*XLOOKUP(D6,Costos!$B:$B,Costos!$E:$E)</f>
        <v>1454.4</v>
      </c>
      <c r="P6" s="24">
        <f>G6*24*Costos!$I$3</f>
        <v>100</v>
      </c>
      <c r="Q6" s="24"/>
      <c r="R6" s="24">
        <v>2500.0</v>
      </c>
      <c r="S6" s="8"/>
      <c r="T6" s="8"/>
    </row>
    <row r="7" ht="22.5" customHeight="1">
      <c r="A7" s="26" t="s">
        <v>34</v>
      </c>
      <c r="B7" s="27">
        <v>46138.52593754629</v>
      </c>
      <c r="C7" s="28" t="s">
        <v>35</v>
      </c>
      <c r="D7" s="28" t="s">
        <v>20</v>
      </c>
      <c r="E7" s="28" t="s">
        <v>21</v>
      </c>
      <c r="F7" s="29">
        <v>18.8</v>
      </c>
      <c r="G7" s="20">
        <v>0.0625</v>
      </c>
      <c r="H7" s="28">
        <v>0.0</v>
      </c>
      <c r="I7" s="21">
        <f t="array" ref="I7">IF(D7=0,0,XLOOKUP(D7,Costos!$B$3:$B131,Costos!$G$3:$G131)*F7)</f>
        <v>3384</v>
      </c>
      <c r="J7" s="21">
        <f>G7*(Costos!$I$2+Costos!$I$3)*24</f>
        <v>1800</v>
      </c>
      <c r="K7" s="18" t="s">
        <v>22</v>
      </c>
      <c r="L7" s="22">
        <f>IF(K7="Cúmulo VIP",Costos!$I$4,0)</f>
        <v>0.2</v>
      </c>
      <c r="M7" s="23">
        <f t="shared" si="2"/>
        <v>4100</v>
      </c>
      <c r="N7" s="23">
        <f t="shared" si="3"/>
        <v>1913.04</v>
      </c>
      <c r="O7" s="24">
        <f t="array" ref="O7">F7*XLOOKUP(D7,Costos!$B:$B,Costos!$E:$E)</f>
        <v>1613.04</v>
      </c>
      <c r="P7" s="24">
        <f>G7*24*Costos!$I$3</f>
        <v>300</v>
      </c>
      <c r="Q7" s="24"/>
      <c r="R7" s="24">
        <v>4600.0</v>
      </c>
      <c r="S7" s="25"/>
      <c r="T7" s="8"/>
    </row>
    <row r="8" ht="22.5" customHeight="1">
      <c r="A8" s="26" t="s">
        <v>36</v>
      </c>
      <c r="B8" s="27">
        <v>46138.52938097222</v>
      </c>
      <c r="C8" s="28" t="s">
        <v>37</v>
      </c>
      <c r="D8" s="28" t="s">
        <v>20</v>
      </c>
      <c r="E8" s="28" t="s">
        <v>38</v>
      </c>
      <c r="F8" s="29">
        <v>0.0</v>
      </c>
      <c r="G8" s="20">
        <v>0.10416666666424135</v>
      </c>
      <c r="H8" s="28">
        <v>0.0</v>
      </c>
      <c r="I8" s="21">
        <f t="array" ref="I8">IF(D8=0,0,XLOOKUP(D8,Costos!$B$3:$B131,Costos!$G$3:$G131)*F8)</f>
        <v>0</v>
      </c>
      <c r="J8" s="21">
        <f>G8*(Costos!$I$2+Costos!$I$3)*24</f>
        <v>3000</v>
      </c>
      <c r="K8" s="18" t="s">
        <v>22</v>
      </c>
      <c r="L8" s="22">
        <f>IF(K8="Cúmulo VIP",Costos!$I$4,0)</f>
        <v>0.2</v>
      </c>
      <c r="M8" s="23">
        <f t="shared" si="2"/>
        <v>2400</v>
      </c>
      <c r="N8" s="23">
        <f t="shared" si="3"/>
        <v>500</v>
      </c>
      <c r="O8" s="24">
        <f t="array" ref="O8">F8*XLOOKUP(D8,Costos!$B:$B,Costos!$E:$E)</f>
        <v>0</v>
      </c>
      <c r="P8" s="24">
        <f>G8*24*Costos!$I$3</f>
        <v>500</v>
      </c>
      <c r="Q8" s="24"/>
      <c r="R8" s="24">
        <v>5000.0</v>
      </c>
      <c r="S8" s="8"/>
      <c r="T8" s="8"/>
    </row>
    <row r="9" ht="22.5" customHeight="1">
      <c r="A9" s="26" t="s">
        <v>39</v>
      </c>
      <c r="B9" s="27">
        <v>46138.532854432866</v>
      </c>
      <c r="C9" s="28" t="s">
        <v>40</v>
      </c>
      <c r="D9" s="28" t="s">
        <v>20</v>
      </c>
      <c r="E9" s="28" t="s">
        <v>38</v>
      </c>
      <c r="F9" s="29">
        <v>43.5</v>
      </c>
      <c r="G9" s="20">
        <v>0.08333333333575865</v>
      </c>
      <c r="H9" s="28">
        <v>0.0</v>
      </c>
      <c r="I9" s="21">
        <f t="array" ref="I9">IF(D9=0,0,XLOOKUP(D9,Costos!$B$3:$B131,Costos!$G$3:$G131)*F9)</f>
        <v>7830</v>
      </c>
      <c r="J9" s="21">
        <f>G9*(Costos!$I$2+Costos!$I$3)*24</f>
        <v>2400</v>
      </c>
      <c r="K9" s="18" t="s">
        <v>22</v>
      </c>
      <c r="L9" s="22">
        <f>IF(K9="Cúmulo VIP",Costos!$I$4,0)</f>
        <v>0.2</v>
      </c>
      <c r="M9" s="23">
        <f t="shared" si="2"/>
        <v>8200</v>
      </c>
      <c r="N9" s="23">
        <f t="shared" si="3"/>
        <v>4132.3</v>
      </c>
      <c r="O9" s="24">
        <f t="array" ref="O9">F9*XLOOKUP(D9,Costos!$B:$B,Costos!$E:$E)</f>
        <v>3732.3</v>
      </c>
      <c r="P9" s="24">
        <f>G9*24*Costos!$I$3</f>
        <v>400</v>
      </c>
      <c r="Q9" s="24"/>
      <c r="R9" s="24">
        <v>5700.0</v>
      </c>
      <c r="S9" s="8"/>
      <c r="T9" s="8"/>
    </row>
    <row r="10" ht="22.5" customHeight="1">
      <c r="A10" s="26" t="s">
        <v>41</v>
      </c>
      <c r="B10" s="27">
        <v>46138.53552796296</v>
      </c>
      <c r="C10" s="28" t="s">
        <v>42</v>
      </c>
      <c r="D10" s="28" t="s">
        <v>20</v>
      </c>
      <c r="E10" s="28" t="s">
        <v>21</v>
      </c>
      <c r="F10" s="29">
        <v>17.0</v>
      </c>
      <c r="G10" s="20">
        <v>0.027777777781011537</v>
      </c>
      <c r="H10" s="28">
        <v>0.0</v>
      </c>
      <c r="I10" s="21">
        <f t="array" ref="I10">IF(D10=0,0,XLOOKUP(D10,Costos!$B$3:$B131,Costos!$G$3:$G131)*F10)</f>
        <v>3060</v>
      </c>
      <c r="J10" s="21">
        <f>G10*(Costos!$I$2+Costos!$I$3)*24</f>
        <v>800.0000001</v>
      </c>
      <c r="K10" s="18" t="s">
        <v>33</v>
      </c>
      <c r="L10" s="30">
        <f>IF(K10="Cúmulo VIP",Costos!$I$4,0)</f>
        <v>0</v>
      </c>
      <c r="M10" s="23">
        <f t="shared" si="2"/>
        <v>3900</v>
      </c>
      <c r="N10" s="23">
        <f t="shared" si="3"/>
        <v>1591.933333</v>
      </c>
      <c r="O10" s="24">
        <f t="array" ref="O10">F10*XLOOKUP(D10,Costos!$B:$B,Costos!$E:$E)</f>
        <v>1458.6</v>
      </c>
      <c r="P10" s="24">
        <f>G10*24*Costos!$I$3</f>
        <v>133.3333333</v>
      </c>
      <c r="Q10" s="24"/>
      <c r="R10" s="24">
        <v>0.0</v>
      </c>
      <c r="S10" s="25"/>
      <c r="T10" s="8"/>
    </row>
    <row r="11" ht="22.5" hidden="1" customHeight="1">
      <c r="A11" s="31" t="s">
        <v>43</v>
      </c>
      <c r="B11" s="27">
        <v>46138.54105759259</v>
      </c>
      <c r="C11" s="28" t="s">
        <v>44</v>
      </c>
      <c r="D11" s="28" t="s">
        <v>20</v>
      </c>
      <c r="E11" s="28" t="s">
        <v>21</v>
      </c>
      <c r="F11" s="29">
        <v>70.5</v>
      </c>
      <c r="G11" s="32"/>
      <c r="H11" s="28">
        <v>0.0</v>
      </c>
      <c r="I11" s="21">
        <f t="array" ref="I11">IF(D11=0,0,XLOOKUP(D11,Costos!$B$3:$B$6,Costos!$G$3:$G$6)*F11)</f>
        <v>12690</v>
      </c>
      <c r="J11" s="21">
        <f>G11*(Costos!$I$2+Costos!$I$3)*24</f>
        <v>0</v>
      </c>
      <c r="K11" s="28" t="s">
        <v>45</v>
      </c>
      <c r="L11" s="30">
        <f>IF(K11="Cúmulo VIP",Costos!$I$4,0)</f>
        <v>0</v>
      </c>
      <c r="M11" s="33">
        <f t="shared" si="2"/>
        <v>0</v>
      </c>
      <c r="N11" s="33">
        <f t="shared" si="3"/>
        <v>6048.9</v>
      </c>
      <c r="O11" s="34">
        <f t="array" ref="O11">F11*XLOOKUP(D11,Costos!$B:$B,Costos!$E:$E)</f>
        <v>6048.9</v>
      </c>
      <c r="P11" s="24">
        <f>G11*24*Costos!$I$3</f>
        <v>0</v>
      </c>
      <c r="Q11" s="24"/>
      <c r="R11" s="24"/>
      <c r="S11" s="8"/>
      <c r="T11" s="8"/>
    </row>
    <row r="12" ht="22.5" hidden="1" customHeight="1">
      <c r="A12" s="31" t="s">
        <v>43</v>
      </c>
      <c r="B12" s="27">
        <v>46138.54286004629</v>
      </c>
      <c r="C12" s="28" t="s">
        <v>46</v>
      </c>
      <c r="D12" s="28" t="s">
        <v>20</v>
      </c>
      <c r="E12" s="28" t="s">
        <v>21</v>
      </c>
      <c r="F12" s="29">
        <v>84.9</v>
      </c>
      <c r="G12" s="32"/>
      <c r="H12" s="28">
        <v>0.0</v>
      </c>
      <c r="I12" s="21">
        <f t="array" ref="I12">IF(D12=0,0,XLOOKUP(D12,Costos!$B$3:$B$6,Costos!$G$3:$G$6)*F12)</f>
        <v>15282</v>
      </c>
      <c r="J12" s="21">
        <f>G12*(Costos!$I$2+Costos!$I$3)*24</f>
        <v>0</v>
      </c>
      <c r="K12" s="28" t="s">
        <v>45</v>
      </c>
      <c r="L12" s="30">
        <f>IF(K12="Cúmulo VIP",Costos!$I$4,0)</f>
        <v>0</v>
      </c>
      <c r="M12" s="33">
        <f t="shared" si="2"/>
        <v>0</v>
      </c>
      <c r="N12" s="33">
        <f t="shared" si="3"/>
        <v>7284.42</v>
      </c>
      <c r="O12" s="34">
        <f t="array" ref="O12">F12*XLOOKUP(D12,Costos!$B:$B,Costos!$E:$E)</f>
        <v>7284.42</v>
      </c>
      <c r="P12" s="24">
        <f>G12*24*Costos!$I$3</f>
        <v>0</v>
      </c>
      <c r="Q12" s="24"/>
      <c r="R12" s="24"/>
      <c r="S12" s="8"/>
      <c r="T12" s="8"/>
    </row>
    <row r="13" ht="22.5" hidden="1" customHeight="1">
      <c r="A13" s="31" t="s">
        <v>43</v>
      </c>
      <c r="B13" s="27">
        <v>46138.54377920138</v>
      </c>
      <c r="C13" s="28" t="s">
        <v>47</v>
      </c>
      <c r="D13" s="28" t="s">
        <v>20</v>
      </c>
      <c r="E13" s="28" t="s">
        <v>21</v>
      </c>
      <c r="F13" s="29">
        <v>5.3</v>
      </c>
      <c r="G13" s="32"/>
      <c r="H13" s="28">
        <v>0.0</v>
      </c>
      <c r="I13" s="21">
        <f t="array" ref="I13">IF(D13=0,0,XLOOKUP(D13,Costos!$B$3:$B$6,Costos!$G$3:$G$6)*F13)</f>
        <v>954</v>
      </c>
      <c r="J13" s="21">
        <f>G13*(Costos!$I$2+Costos!$I$3)*24</f>
        <v>0</v>
      </c>
      <c r="K13" s="28" t="s">
        <v>45</v>
      </c>
      <c r="L13" s="30">
        <f>IF(K13="Cúmulo VIP",Costos!$I$4,0)</f>
        <v>0</v>
      </c>
      <c r="M13" s="33">
        <f t="shared" si="2"/>
        <v>0</v>
      </c>
      <c r="N13" s="33">
        <f t="shared" si="3"/>
        <v>454.74</v>
      </c>
      <c r="O13" s="34">
        <f t="array" ref="O13">F13*XLOOKUP(D13,Costos!$B:$B,Costos!$E:$E)</f>
        <v>454.74</v>
      </c>
      <c r="P13" s="24">
        <f>G13*24*Costos!$I$3</f>
        <v>0</v>
      </c>
      <c r="Q13" s="24"/>
      <c r="R13" s="24"/>
      <c r="S13" s="8"/>
      <c r="T13" s="8"/>
    </row>
    <row r="14" ht="22.5" hidden="1" customHeight="1">
      <c r="A14" s="31" t="s">
        <v>43</v>
      </c>
      <c r="B14" s="27">
        <v>46138.54513442129</v>
      </c>
      <c r="C14" s="28" t="s">
        <v>48</v>
      </c>
      <c r="D14" s="28" t="s">
        <v>20</v>
      </c>
      <c r="E14" s="28" t="s">
        <v>21</v>
      </c>
      <c r="F14" s="29">
        <v>15.3</v>
      </c>
      <c r="G14" s="32"/>
      <c r="H14" s="28">
        <v>0.0</v>
      </c>
      <c r="I14" s="21">
        <f t="array" ref="I14">IF(D14=0,0,XLOOKUP(D14,Costos!$B$3:$B$6,Costos!$G$3:$G$6)*F14)</f>
        <v>2754</v>
      </c>
      <c r="J14" s="21">
        <f>G14*(Costos!$I$2+Costos!$I$3)*24</f>
        <v>0</v>
      </c>
      <c r="K14" s="28" t="s">
        <v>45</v>
      </c>
      <c r="L14" s="30">
        <f>IF(K14="Cúmulo VIP",Costos!$I$4,0)</f>
        <v>0</v>
      </c>
      <c r="M14" s="33">
        <f t="shared" si="2"/>
        <v>0</v>
      </c>
      <c r="N14" s="33">
        <f t="shared" si="3"/>
        <v>1312.74</v>
      </c>
      <c r="O14" s="34">
        <f t="array" ref="O14">F14*XLOOKUP(D14,Costos!$B:$B,Costos!$E:$E)</f>
        <v>1312.74</v>
      </c>
      <c r="P14" s="24">
        <f>G14*24*Costos!$I$3</f>
        <v>0</v>
      </c>
      <c r="Q14" s="24"/>
      <c r="R14" s="24"/>
      <c r="S14" s="8"/>
      <c r="T14" s="8"/>
    </row>
    <row r="15" ht="22.5" hidden="1" customHeight="1">
      <c r="A15" s="31" t="s">
        <v>43</v>
      </c>
      <c r="B15" s="27">
        <v>46138.56006751157</v>
      </c>
      <c r="C15" s="28" t="s">
        <v>49</v>
      </c>
      <c r="D15" s="28" t="s">
        <v>50</v>
      </c>
      <c r="E15" s="28" t="s">
        <v>51</v>
      </c>
      <c r="F15" s="29">
        <v>9.8</v>
      </c>
      <c r="G15" s="32"/>
      <c r="H15" s="28">
        <v>0.0</v>
      </c>
      <c r="I15" s="21">
        <f t="array" ref="I15">IF(D15=0,0,XLOOKUP(D15,Costos!$B$3:$B$6,Costos!$G$3:$G$6)*F15)</f>
        <v>1960</v>
      </c>
      <c r="J15" s="21">
        <f>G15*(Costos!$I$2+Costos!$I$3)*24</f>
        <v>0</v>
      </c>
      <c r="K15" s="28" t="s">
        <v>45</v>
      </c>
      <c r="L15" s="30">
        <f>IF(K15="Cúmulo VIP",Costos!$I$4,0)</f>
        <v>0</v>
      </c>
      <c r="M15" s="33">
        <f t="shared" si="2"/>
        <v>0</v>
      </c>
      <c r="N15" s="33">
        <f t="shared" si="3"/>
        <v>889.84</v>
      </c>
      <c r="O15" s="34">
        <f t="array" ref="O15">F15*XLOOKUP(D15,Costos!$B:$B,Costos!$E:$E)</f>
        <v>889.84</v>
      </c>
      <c r="P15" s="24">
        <f>G15*24*Costos!$I$3</f>
        <v>0</v>
      </c>
      <c r="Q15" s="24"/>
      <c r="R15" s="24"/>
      <c r="S15" s="8"/>
      <c r="T15" s="8"/>
    </row>
    <row r="16" ht="22.5" customHeight="1">
      <c r="A16" s="26" t="s">
        <v>52</v>
      </c>
      <c r="B16" s="27">
        <v>46138.584927118056</v>
      </c>
      <c r="C16" s="28" t="s">
        <v>53</v>
      </c>
      <c r="D16" s="28" t="s">
        <v>20</v>
      </c>
      <c r="E16" s="28" t="s">
        <v>21</v>
      </c>
      <c r="F16" s="29">
        <v>0.0</v>
      </c>
      <c r="G16" s="20">
        <v>0.10416666666424135</v>
      </c>
      <c r="H16" s="28">
        <v>0.0</v>
      </c>
      <c r="I16" s="21">
        <f t="array" ref="I16">IF(D16=0,0,XLOOKUP(D16,Costos!$B$3:$B131,Costos!$G$3:$G131)*F16)</f>
        <v>0</v>
      </c>
      <c r="J16" s="21">
        <f>G16*(Costos!$I$2+Costos!$I$3)*24</f>
        <v>3000</v>
      </c>
      <c r="K16" s="18" t="s">
        <v>22</v>
      </c>
      <c r="L16" s="22">
        <f>IF(K16="Cúmulo VIP",Costos!$I$4,0)</f>
        <v>0.2</v>
      </c>
      <c r="M16" s="23">
        <f t="shared" si="2"/>
        <v>2400</v>
      </c>
      <c r="N16" s="33">
        <f t="shared" si="3"/>
        <v>500</v>
      </c>
      <c r="O16" s="34">
        <f t="array" ref="O16">F16*XLOOKUP(D16,Costos!$B:$B,Costos!$E:$E)</f>
        <v>0</v>
      </c>
      <c r="P16" s="24">
        <f>G16*24*Costos!$I$3</f>
        <v>500</v>
      </c>
      <c r="Q16" s="24"/>
      <c r="R16" s="24">
        <v>4000.0</v>
      </c>
      <c r="S16" s="8"/>
      <c r="T16" s="8"/>
    </row>
    <row r="17" ht="22.5" customHeight="1">
      <c r="A17" s="26" t="s">
        <v>54</v>
      </c>
      <c r="B17" s="27">
        <v>46142.79204729167</v>
      </c>
      <c r="C17" s="28" t="s">
        <v>55</v>
      </c>
      <c r="D17" s="28" t="s">
        <v>27</v>
      </c>
      <c r="E17" s="28" t="s">
        <v>28</v>
      </c>
      <c r="F17" s="28">
        <v>37.0</v>
      </c>
      <c r="G17" s="20">
        <v>0.20833333333333334</v>
      </c>
      <c r="H17" s="28">
        <v>0.0</v>
      </c>
      <c r="I17" s="35">
        <f t="array" ref="I17">IF(D17=0,0,XLOOKUP(D17,Costos!$B$3:$B131,Costos!$G$3:$G131)*F17)</f>
        <v>7400</v>
      </c>
      <c r="J17" s="21">
        <f>G17*(Costos!$I$2+Costos!$I$3)*24</f>
        <v>6000</v>
      </c>
      <c r="K17" s="28" t="s">
        <v>22</v>
      </c>
      <c r="L17" s="36">
        <f>IF(K17="Cúmulo VIP",Costos!$I$4,0)</f>
        <v>0.2</v>
      </c>
      <c r="M17" s="23">
        <f t="shared" si="2"/>
        <v>10700</v>
      </c>
      <c r="N17" s="33">
        <f t="shared" si="3"/>
        <v>4761.666667</v>
      </c>
      <c r="O17" s="34">
        <f t="array" ref="O17">F17*XLOOKUP(D17,Costos!$B:$B,Costos!$E:$E)</f>
        <v>3761.666667</v>
      </c>
      <c r="P17" s="24">
        <f>G17*24*Costos!$I$3</f>
        <v>1000</v>
      </c>
      <c r="Q17" s="24"/>
      <c r="R17" s="24">
        <v>7700.0</v>
      </c>
      <c r="S17" s="8"/>
      <c r="T17" s="8"/>
    </row>
    <row r="18" ht="22.5" customHeight="1">
      <c r="A18" s="26" t="s">
        <v>56</v>
      </c>
      <c r="B18" s="27">
        <v>46142.79420965278</v>
      </c>
      <c r="C18" s="28" t="s">
        <v>57</v>
      </c>
      <c r="D18" s="28" t="s">
        <v>27</v>
      </c>
      <c r="E18" s="28" t="s">
        <v>28</v>
      </c>
      <c r="F18" s="28">
        <v>103.44</v>
      </c>
      <c r="G18" s="37"/>
      <c r="H18" s="28">
        <v>0.0</v>
      </c>
      <c r="I18" s="35">
        <f t="array" ref="I18">IF(D18=0,0,XLOOKUP(D18,Costos!$B$3:$B131,Costos!$G$3:$G131)*F18)</f>
        <v>20688</v>
      </c>
      <c r="J18" s="21">
        <f>G18*(Costos!$I$2+Costos!$I$3)*24</f>
        <v>0</v>
      </c>
      <c r="K18" s="28" t="s">
        <v>56</v>
      </c>
      <c r="L18" s="37">
        <f>IF(K18="Cúmulo VIP",Costos!$I$4,0)</f>
        <v>0</v>
      </c>
      <c r="M18" s="33">
        <f t="shared" si="2"/>
        <v>20700</v>
      </c>
      <c r="N18" s="33">
        <f t="shared" si="3"/>
        <v>10516.4</v>
      </c>
      <c r="O18" s="34">
        <f t="array" ref="O18">F18*XLOOKUP(D18,Costos!$B:$B,Costos!$E:$E)</f>
        <v>10516.4</v>
      </c>
      <c r="P18" s="24">
        <f>G18*24*Costos!$I$3</f>
        <v>0</v>
      </c>
      <c r="Q18" s="24"/>
      <c r="R18" s="24"/>
      <c r="S18" s="8"/>
      <c r="T18" s="8"/>
    </row>
    <row r="19" ht="22.5" customHeight="1">
      <c r="A19" s="26" t="s">
        <v>56</v>
      </c>
      <c r="B19" s="27">
        <v>46142.804092488426</v>
      </c>
      <c r="C19" s="28" t="s">
        <v>58</v>
      </c>
      <c r="D19" s="28" t="s">
        <v>27</v>
      </c>
      <c r="E19" s="28" t="s">
        <v>28</v>
      </c>
      <c r="F19" s="28">
        <v>63.7</v>
      </c>
      <c r="G19" s="37"/>
      <c r="H19" s="28">
        <v>0.0</v>
      </c>
      <c r="I19" s="35">
        <f t="array" ref="I19">IF(D19=0,0,XLOOKUP(D19,Costos!$B$3:$B131,Costos!$G$3:$G131)*F19)</f>
        <v>12740</v>
      </c>
      <c r="J19" s="21">
        <f>G19*(Costos!$I$2+Costos!$I$3)*24</f>
        <v>0</v>
      </c>
      <c r="K19" s="28" t="s">
        <v>56</v>
      </c>
      <c r="L19" s="37">
        <f>IF(K19="Cúmulo VIP",Costos!$I$4,0)</f>
        <v>0</v>
      </c>
      <c r="M19" s="33">
        <f t="shared" si="2"/>
        <v>12700</v>
      </c>
      <c r="N19" s="33">
        <f t="shared" si="3"/>
        <v>6476.166667</v>
      </c>
      <c r="O19" s="34">
        <f t="array" ref="O19">F19*XLOOKUP(D19,Costos!$B:$B,Costos!$E:$E)</f>
        <v>6476.166667</v>
      </c>
      <c r="P19" s="24">
        <f>G19*24*Costos!$I$3</f>
        <v>0</v>
      </c>
      <c r="Q19" s="24"/>
      <c r="R19" s="24"/>
      <c r="S19" s="8"/>
      <c r="T19" s="8"/>
    </row>
    <row r="20" ht="22.5" hidden="1" customHeight="1">
      <c r="A20" s="31" t="s">
        <v>43</v>
      </c>
      <c r="B20" s="27">
        <v>46142.80534965278</v>
      </c>
      <c r="C20" s="28" t="s">
        <v>59</v>
      </c>
      <c r="D20" s="28" t="s">
        <v>20</v>
      </c>
      <c r="E20" s="28" t="s">
        <v>21</v>
      </c>
      <c r="F20" s="28">
        <v>9.1</v>
      </c>
      <c r="G20" s="37"/>
      <c r="H20" s="28">
        <v>0.0</v>
      </c>
      <c r="I20" s="35">
        <f t="array" ref="I20">IF(D20=0,0,XLOOKUP(D20,Costos!$B$3:$B$6,Costos!$G$3:$G$6)*F20)</f>
        <v>1638</v>
      </c>
      <c r="J20" s="21">
        <f>G20*(Costos!$I$2+Costos!$I$3)*24</f>
        <v>0</v>
      </c>
      <c r="K20" s="28" t="s">
        <v>45</v>
      </c>
      <c r="L20" s="37">
        <f>IF(K20="Cúmulo VIP",Costos!$I$4,0)</f>
        <v>0</v>
      </c>
      <c r="M20" s="33">
        <f t="shared" si="2"/>
        <v>0</v>
      </c>
      <c r="N20" s="33">
        <f t="shared" si="3"/>
        <v>780.78</v>
      </c>
      <c r="O20" s="34">
        <f t="array" ref="O20">F20*XLOOKUP(D20,Costos!$B:$B,Costos!$E:$E)</f>
        <v>780.78</v>
      </c>
      <c r="P20" s="24">
        <f>G20*24*Costos!$I$3</f>
        <v>0</v>
      </c>
      <c r="Q20" s="24"/>
      <c r="R20" s="24"/>
      <c r="S20" s="8"/>
      <c r="T20" s="8"/>
    </row>
    <row r="21" ht="22.5" customHeight="1">
      <c r="A21" s="26" t="s">
        <v>56</v>
      </c>
      <c r="B21" s="27">
        <v>46142.84799663194</v>
      </c>
      <c r="C21" s="28" t="s">
        <v>60</v>
      </c>
      <c r="D21" s="28" t="s">
        <v>27</v>
      </c>
      <c r="E21" s="28" t="s">
        <v>28</v>
      </c>
      <c r="F21" s="28">
        <v>43.6</v>
      </c>
      <c r="G21" s="20"/>
      <c r="H21" s="28">
        <v>0.0</v>
      </c>
      <c r="I21" s="35">
        <f t="array" ref="I21">IF(D21=0,0,XLOOKUP(D21,Costos!$B$3:$B131,Costos!$G$3:$G131)*F21)</f>
        <v>8720</v>
      </c>
      <c r="J21" s="21">
        <f>G21*(Costos!$I$2+Costos!$I$3)*24</f>
        <v>0</v>
      </c>
      <c r="K21" s="28" t="s">
        <v>56</v>
      </c>
      <c r="L21" s="37">
        <f>IF(K21="Cúmulo VIP",Costos!$I$4,0)</f>
        <v>0</v>
      </c>
      <c r="M21" s="23">
        <v>8300.0</v>
      </c>
      <c r="N21" s="33">
        <f t="shared" si="3"/>
        <v>4432.666667</v>
      </c>
      <c r="O21" s="34">
        <f t="array" ref="O21">F21*XLOOKUP(D21,Costos!$B:$B,Costos!$E:$E)</f>
        <v>4432.666667</v>
      </c>
      <c r="P21" s="24">
        <f>G21*24*Costos!$I$3</f>
        <v>0</v>
      </c>
      <c r="Q21" s="24"/>
      <c r="R21" s="24"/>
      <c r="S21" s="8"/>
      <c r="T21" s="8"/>
    </row>
    <row r="22" ht="22.5" hidden="1" customHeight="1">
      <c r="A22" s="31" t="s">
        <v>43</v>
      </c>
      <c r="B22" s="38">
        <v>46144.78319988426</v>
      </c>
      <c r="C22" s="28" t="s">
        <v>61</v>
      </c>
      <c r="D22" s="28" t="s">
        <v>31</v>
      </c>
      <c r="E22" s="28" t="s">
        <v>32</v>
      </c>
      <c r="F22" s="28">
        <v>8.0</v>
      </c>
      <c r="G22" s="37"/>
      <c r="H22" s="37"/>
      <c r="I22" s="35">
        <f t="array" ref="I22">IF(D22=0,0,XLOOKUP(D22,Costos!$B$3:$B$6,Costos!$G$3:$G$6)*F22)</f>
        <v>1680</v>
      </c>
      <c r="J22" s="35">
        <f>G22*(Costos!$I$2+Costos!$I$3)*24</f>
        <v>0</v>
      </c>
      <c r="K22" s="28" t="s">
        <v>45</v>
      </c>
      <c r="L22" s="37">
        <f>IF(K22="Cúmulo VIP",Costos!$I$4,0)</f>
        <v>0</v>
      </c>
      <c r="M22" s="35"/>
      <c r="N22" s="35">
        <f t="shared" si="3"/>
        <v>646.4</v>
      </c>
      <c r="O22" s="35">
        <f t="array" ref="O22">F22*XLOOKUP(D22,Costos!$B:$B,Costos!$E:$E)</f>
        <v>646.4</v>
      </c>
      <c r="P22" s="35">
        <f>G22*24*Costos!$I$3</f>
        <v>0</v>
      </c>
      <c r="Q22" s="37"/>
      <c r="R22" s="37"/>
      <c r="S22" s="39"/>
      <c r="T22" s="39"/>
    </row>
    <row r="23" ht="22.5" customHeight="1">
      <c r="A23" s="26" t="s">
        <v>62</v>
      </c>
      <c r="B23" s="38">
        <v>46144.784055474534</v>
      </c>
      <c r="C23" s="28" t="s">
        <v>63</v>
      </c>
      <c r="D23" s="28" t="s">
        <v>31</v>
      </c>
      <c r="E23" s="28" t="s">
        <v>21</v>
      </c>
      <c r="F23" s="28">
        <v>35.0</v>
      </c>
      <c r="G23" s="40">
        <v>0.10208333333139308</v>
      </c>
      <c r="H23" s="28">
        <v>0.0</v>
      </c>
      <c r="I23" s="35">
        <f t="array" ref="I23">IF(D23=0,0,XLOOKUP(D23,Costos!$B$3:$B131,Costos!$G$3:$G131)*F23)</f>
        <v>7350</v>
      </c>
      <c r="J23" s="37">
        <f>G23*(Costos!$I$2+Costos!$I$3)*24</f>
        <v>2940</v>
      </c>
      <c r="K23" s="28" t="s">
        <v>33</v>
      </c>
      <c r="L23" s="37">
        <f>IF(K23="Cúmulo VIP",Costos!$I$4,0)</f>
        <v>0</v>
      </c>
      <c r="M23" s="23">
        <f>IF(K23="Proyecto Cúmulo",0,MROUND(SUM(I23:J23)*(1-L23), 100))</f>
        <v>10300</v>
      </c>
      <c r="N23" s="35">
        <f t="shared" si="3"/>
        <v>3318</v>
      </c>
      <c r="O23" s="35">
        <f t="array" ref="O23">F23*XLOOKUP(D23,Costos!$B:$B,Costos!$E:$E)</f>
        <v>2828</v>
      </c>
      <c r="P23" s="37">
        <f>G23*24*Costos!$I$3</f>
        <v>490</v>
      </c>
      <c r="Q23" s="37"/>
      <c r="R23" s="28">
        <v>8300.0</v>
      </c>
      <c r="S23" s="39"/>
      <c r="T23" s="39"/>
    </row>
    <row r="24" ht="22.5" hidden="1" customHeight="1">
      <c r="A24" s="31" t="s">
        <v>43</v>
      </c>
      <c r="B24" s="38">
        <v>46147.78028438658</v>
      </c>
      <c r="C24" s="28" t="s">
        <v>64</v>
      </c>
      <c r="D24" s="28" t="s">
        <v>31</v>
      </c>
      <c r="E24" s="28" t="s">
        <v>21</v>
      </c>
      <c r="F24" s="28">
        <v>5.0</v>
      </c>
      <c r="G24" s="37"/>
      <c r="H24" s="37"/>
      <c r="I24" s="35">
        <f t="array" ref="I24">IF(D24=0,0,XLOOKUP(D24,Costos!$B$3:$B$6,Costos!$G$3:$G$6)*F24)</f>
        <v>1050</v>
      </c>
      <c r="J24" s="35">
        <f>G24*(Costos!$I$2+Costos!$I$3)*24</f>
        <v>0</v>
      </c>
      <c r="K24" s="28" t="s">
        <v>45</v>
      </c>
      <c r="L24" s="37">
        <f>IF(K24="Cúmulo VIP",Costos!$I$4,0)</f>
        <v>0</v>
      </c>
      <c r="M24" s="35"/>
      <c r="N24" s="35">
        <f t="shared" si="3"/>
        <v>404</v>
      </c>
      <c r="O24" s="35">
        <f t="array" ref="O24">F24*XLOOKUP(D24,Costos!$B:$B,Costos!$E:$E)</f>
        <v>404</v>
      </c>
      <c r="P24" s="35">
        <f>G24*24*Costos!$I$3</f>
        <v>0</v>
      </c>
      <c r="Q24" s="37"/>
      <c r="R24" s="37"/>
      <c r="S24" s="39"/>
      <c r="T24" s="39"/>
    </row>
    <row r="25" ht="22.5" customHeight="1">
      <c r="A25" s="26" t="s">
        <v>25</v>
      </c>
      <c r="B25" s="38">
        <v>46148.74287585648</v>
      </c>
      <c r="C25" s="28" t="s">
        <v>65</v>
      </c>
      <c r="D25" s="28" t="s">
        <v>27</v>
      </c>
      <c r="E25" s="28" t="s">
        <v>28</v>
      </c>
      <c r="F25" s="28">
        <v>9.28</v>
      </c>
      <c r="G25" s="40">
        <v>0.02500000000145519</v>
      </c>
      <c r="H25" s="28">
        <v>0.0</v>
      </c>
      <c r="I25" s="35">
        <f t="array" ref="I25">IF(D25=0,0,XLOOKUP(D25,Costos!$B$3:$B131,Costos!$G$3:$G131)*F25)</f>
        <v>1856</v>
      </c>
      <c r="J25" s="37">
        <f>G25*(Costos!$I$2+Costos!$I$3)*24</f>
        <v>720</v>
      </c>
      <c r="K25" s="28" t="s">
        <v>22</v>
      </c>
      <c r="L25" s="36">
        <f>IF(K25="Cúmulo VIP",Costos!$I$4,0)</f>
        <v>0.2</v>
      </c>
      <c r="M25" s="23">
        <f t="shared" ref="M25:M26" si="4">IF(K25="Proyecto Cúmulo",0,MROUND(SUM(I25:J25)*(1-L25), 100))</f>
        <v>2100</v>
      </c>
      <c r="N25" s="35">
        <f t="shared" si="3"/>
        <v>1063.466667</v>
      </c>
      <c r="O25" s="35">
        <f t="array" ref="O25">F25*XLOOKUP(D25,Costos!$B:$B,Costos!$E:$E)</f>
        <v>943.4666667</v>
      </c>
      <c r="P25" s="37">
        <f>G25*24*Costos!$I$3</f>
        <v>120</v>
      </c>
      <c r="Q25" s="37"/>
      <c r="R25" s="37"/>
      <c r="S25" s="39"/>
      <c r="T25" s="39"/>
    </row>
    <row r="26" ht="22.5" customHeight="1">
      <c r="A26" s="26" t="s">
        <v>66</v>
      </c>
      <c r="B26" s="38">
        <v>46148.75569443287</v>
      </c>
      <c r="C26" s="28" t="s">
        <v>67</v>
      </c>
      <c r="D26" s="28" t="s">
        <v>27</v>
      </c>
      <c r="E26" s="28" t="s">
        <v>28</v>
      </c>
      <c r="F26" s="28">
        <v>9.28</v>
      </c>
      <c r="G26" s="40">
        <v>0.02500000000145519</v>
      </c>
      <c r="H26" s="28">
        <v>0.0</v>
      </c>
      <c r="I26" s="35">
        <f t="array" ref="I26">IF(D26=0,0,XLOOKUP(D26,Costos!$B$3:$B131,Costos!$G$3:$G131)*F26)</f>
        <v>1856</v>
      </c>
      <c r="J26" s="37">
        <f>G26*(Costos!$I$2+Costos!$I$3)*24</f>
        <v>720</v>
      </c>
      <c r="K26" s="28" t="s">
        <v>22</v>
      </c>
      <c r="L26" s="36">
        <f>IF(K26="Cúmulo VIP",Costos!$I$4,0)</f>
        <v>0.2</v>
      </c>
      <c r="M26" s="23">
        <f t="shared" si="4"/>
        <v>2100</v>
      </c>
      <c r="N26" s="35">
        <f t="shared" si="3"/>
        <v>1063.466667</v>
      </c>
      <c r="O26" s="35">
        <f t="array" ref="O26">F26*XLOOKUP(D26,Costos!$B:$B,Costos!$E:$E)</f>
        <v>943.4666667</v>
      </c>
      <c r="P26" s="37">
        <f>G26*24*Costos!$I$3</f>
        <v>120</v>
      </c>
      <c r="Q26" s="37"/>
      <c r="R26" s="37"/>
      <c r="S26" s="39"/>
      <c r="T26" s="39"/>
    </row>
    <row r="27" ht="22.5" hidden="1" customHeight="1">
      <c r="A27" s="31" t="s">
        <v>43</v>
      </c>
      <c r="B27" s="38">
        <v>46150.57545202546</v>
      </c>
      <c r="C27" s="28" t="s">
        <v>68</v>
      </c>
      <c r="D27" s="28" t="s">
        <v>20</v>
      </c>
      <c r="E27" s="28" t="s">
        <v>21</v>
      </c>
      <c r="F27" s="28">
        <v>7.24</v>
      </c>
      <c r="G27" s="37"/>
      <c r="H27" s="37"/>
      <c r="I27" s="35">
        <f t="array" ref="I27">IF(D27=0,0,XLOOKUP(D27,Costos!$B$3:$B$6,Costos!$G$3:$G$6)*F27)</f>
        <v>1303.2</v>
      </c>
      <c r="J27" s="35">
        <f>G27*(Costos!$I$2+Costos!$I$3)*24</f>
        <v>0</v>
      </c>
      <c r="K27" s="28" t="s">
        <v>45</v>
      </c>
      <c r="L27" s="37">
        <f>IF(K27="Cúmulo VIP",Costos!$I$4,0)</f>
        <v>0</v>
      </c>
      <c r="M27" s="35"/>
      <c r="N27" s="35">
        <f t="shared" si="3"/>
        <v>621.192</v>
      </c>
      <c r="O27" s="35">
        <f t="array" ref="O27">F27*XLOOKUP(D27,Costos!$B:$B,Costos!$E:$E)</f>
        <v>621.192</v>
      </c>
      <c r="P27" s="35">
        <f>G27*24*Costos!$I$3</f>
        <v>0</v>
      </c>
      <c r="Q27" s="37"/>
      <c r="R27" s="37"/>
      <c r="S27" s="39"/>
      <c r="T27" s="39"/>
    </row>
    <row r="28" ht="22.5" hidden="1" customHeight="1">
      <c r="A28" s="31" t="s">
        <v>69</v>
      </c>
      <c r="B28" s="38">
        <v>46161.75395752315</v>
      </c>
      <c r="C28" s="28" t="s">
        <v>70</v>
      </c>
      <c r="D28" s="28" t="s">
        <v>20</v>
      </c>
      <c r="E28" s="28" t="s">
        <v>38</v>
      </c>
      <c r="F28" s="28">
        <v>3.5</v>
      </c>
      <c r="G28" s="37"/>
      <c r="H28" s="37"/>
      <c r="I28" s="35">
        <f t="array" ref="I28">IF(D28=0,0,XLOOKUP(D28,Costos!$B$3:$B$6,Costos!$G$3:$G$6)*F28)</f>
        <v>630</v>
      </c>
      <c r="J28" s="35">
        <f>G28*(Costos!$I$2+Costos!$I$3)*24</f>
        <v>0</v>
      </c>
      <c r="K28" s="28" t="s">
        <v>45</v>
      </c>
      <c r="L28" s="37">
        <f>IF(K28="Cúmulo VIP",Costos!$I$4,0)</f>
        <v>0</v>
      </c>
      <c r="M28" s="35"/>
      <c r="N28" s="35">
        <f t="shared" si="3"/>
        <v>300.3</v>
      </c>
      <c r="O28" s="35">
        <f t="array" ref="O28">F28*XLOOKUP(D28,Costos!$B:$B,Costos!$E:$E)</f>
        <v>300.3</v>
      </c>
      <c r="P28" s="35">
        <f>G28*24*Costos!$I$3</f>
        <v>0</v>
      </c>
      <c r="Q28" s="37"/>
      <c r="R28" s="37"/>
      <c r="S28" s="39"/>
      <c r="T28" s="39"/>
    </row>
    <row r="29" ht="22.5" hidden="1" customHeight="1">
      <c r="A29" s="31" t="s">
        <v>69</v>
      </c>
      <c r="B29" s="38">
        <v>46163.76490787037</v>
      </c>
      <c r="C29" s="28" t="s">
        <v>71</v>
      </c>
      <c r="D29" s="28" t="s">
        <v>20</v>
      </c>
      <c r="E29" s="28" t="s">
        <v>21</v>
      </c>
      <c r="F29" s="28">
        <v>49.0</v>
      </c>
      <c r="G29" s="37"/>
      <c r="H29" s="37"/>
      <c r="I29" s="35">
        <f t="array" ref="I29">IF(D29=0,0,XLOOKUP(D29,Costos!$B$3:$B$6,Costos!$G$3:$G$6)*F29)</f>
        <v>8820</v>
      </c>
      <c r="J29" s="35">
        <f>G29*(Costos!$I$2+Costos!$I$3)*24</f>
        <v>0</v>
      </c>
      <c r="K29" s="28" t="s">
        <v>45</v>
      </c>
      <c r="L29" s="37">
        <f>IF(K29="Cúmulo VIP",Costos!$I$4,0)</f>
        <v>0</v>
      </c>
      <c r="M29" s="35"/>
      <c r="N29" s="35">
        <f t="shared" si="3"/>
        <v>4204.2</v>
      </c>
      <c r="O29" s="35">
        <f t="array" ref="O29">F29*XLOOKUP(D29,Costos!$B:$B,Costos!$E:$E)</f>
        <v>4204.2</v>
      </c>
      <c r="P29" s="35">
        <f>G29*24*Costos!$I$3</f>
        <v>0</v>
      </c>
      <c r="Q29" s="37"/>
      <c r="R29" s="37"/>
      <c r="S29" s="39"/>
      <c r="T29" s="39"/>
    </row>
    <row r="30" ht="22.5" hidden="1" customHeight="1">
      <c r="A30" s="31" t="s">
        <v>72</v>
      </c>
      <c r="B30" s="38">
        <v>46174.653198761574</v>
      </c>
      <c r="C30" s="28" t="s">
        <v>73</v>
      </c>
      <c r="D30" s="28" t="s">
        <v>20</v>
      </c>
      <c r="E30" s="28" t="s">
        <v>21</v>
      </c>
      <c r="F30" s="28">
        <v>26.4</v>
      </c>
      <c r="G30" s="37"/>
      <c r="H30" s="37"/>
      <c r="I30" s="35">
        <f t="array" ref="I30">IF(D30=0,0,XLOOKUP(D30,Costos!$B$3:$B$6,Costos!$G$3:$G$6)*F30)</f>
        <v>4752</v>
      </c>
      <c r="J30" s="35">
        <f>G30*(Costos!$I$2+Costos!$I$3)*24</f>
        <v>0</v>
      </c>
      <c r="K30" s="28" t="s">
        <v>45</v>
      </c>
      <c r="L30" s="37">
        <f>IF(K30="Cúmulo VIP",Costos!$I$4,0)</f>
        <v>0</v>
      </c>
      <c r="M30" s="35"/>
      <c r="N30" s="35">
        <f t="shared" si="3"/>
        <v>2265.12</v>
      </c>
      <c r="O30" s="35">
        <f t="array" ref="O30">F30*XLOOKUP(D30,Costos!$B:$B,Costos!$E:$E)</f>
        <v>2265.12</v>
      </c>
      <c r="P30" s="35">
        <f>G30*24*Costos!$I$3</f>
        <v>0</v>
      </c>
      <c r="Q30" s="37"/>
      <c r="R30" s="37"/>
      <c r="S30" s="39"/>
      <c r="T30" s="39"/>
    </row>
    <row r="31" ht="22.5" customHeight="1">
      <c r="A31" s="26" t="s">
        <v>36</v>
      </c>
      <c r="B31" s="38">
        <v>46174.76074873842</v>
      </c>
      <c r="C31" s="28" t="s">
        <v>74</v>
      </c>
      <c r="D31" s="28" t="s">
        <v>20</v>
      </c>
      <c r="E31" s="28" t="s">
        <v>21</v>
      </c>
      <c r="F31" s="28">
        <v>31.5</v>
      </c>
      <c r="G31" s="40">
        <v>0.04930555555620231</v>
      </c>
      <c r="H31" s="28">
        <v>0.0</v>
      </c>
      <c r="I31" s="35">
        <f t="array" ref="I31">IF(D31=0,0,XLOOKUP(D31,Costos!$B$3:$B131,Costos!$G$3:$G131)*F31)</f>
        <v>5670</v>
      </c>
      <c r="J31" s="37">
        <f>G31*(Costos!$I$2+Costos!$I$3)*24</f>
        <v>1420</v>
      </c>
      <c r="K31" s="28" t="s">
        <v>22</v>
      </c>
      <c r="L31" s="36">
        <f>IF(K31="Cúmulo VIP",Costos!$I$4,0)</f>
        <v>0.2</v>
      </c>
      <c r="M31" s="23">
        <f t="shared" ref="M31:M32" si="5">IF(K31="Proyecto Cúmulo",0,MROUND(SUM(I31:J31)*(1-L31), 100))</f>
        <v>5700</v>
      </c>
      <c r="N31" s="35">
        <f t="shared" si="3"/>
        <v>2939.366667</v>
      </c>
      <c r="O31" s="35">
        <f t="array" ref="O31">F31*XLOOKUP(D31,Costos!$B:$B,Costos!$E:$E)</f>
        <v>2702.7</v>
      </c>
      <c r="P31" s="37">
        <f>G31*24*Costos!$I$3</f>
        <v>236.6666667</v>
      </c>
      <c r="Q31" s="37"/>
      <c r="R31" s="37"/>
      <c r="S31" s="39"/>
      <c r="T31" s="39"/>
    </row>
    <row r="32" ht="22.5" customHeight="1">
      <c r="A32" s="26" t="s">
        <v>75</v>
      </c>
      <c r="B32" s="38">
        <v>46174.829831967596</v>
      </c>
      <c r="C32" s="28" t="s">
        <v>76</v>
      </c>
      <c r="D32" s="28" t="s">
        <v>20</v>
      </c>
      <c r="E32" s="28" t="s">
        <v>21</v>
      </c>
      <c r="F32" s="28">
        <v>181.23</v>
      </c>
      <c r="G32" s="40">
        <v>0.25069444444444444</v>
      </c>
      <c r="H32" s="28">
        <v>0.0</v>
      </c>
      <c r="I32" s="35">
        <f t="array" ref="I32">IF(D32=0,0,XLOOKUP(D32,Costos!$B$3:$B131,Costos!$G$3:$G131)*F32)</f>
        <v>32621.4</v>
      </c>
      <c r="J32" s="37">
        <f>G32*(Costos!$I$2+Costos!$I$3)*24</f>
        <v>7220</v>
      </c>
      <c r="K32" s="28" t="s">
        <v>33</v>
      </c>
      <c r="L32" s="37">
        <f>IF(K32="Cúmulo VIP",Costos!$I$4,0)</f>
        <v>0</v>
      </c>
      <c r="M32" s="23">
        <f t="shared" si="5"/>
        <v>39800</v>
      </c>
      <c r="N32" s="35">
        <f t="shared" si="3"/>
        <v>16752.86733</v>
      </c>
      <c r="O32" s="35">
        <f t="array" ref="O32">F32*XLOOKUP(D32,Costos!$B:$B,Costos!$E:$E)</f>
        <v>15549.534</v>
      </c>
      <c r="P32" s="37">
        <f>G32*24*Costos!$I$3</f>
        <v>1203.333333</v>
      </c>
      <c r="Q32" s="37"/>
      <c r="R32" s="28">
        <v>38600.0</v>
      </c>
      <c r="S32" s="39"/>
      <c r="T32" s="39"/>
    </row>
    <row r="33" ht="21.75" hidden="1" customHeight="1">
      <c r="A33" s="41"/>
      <c r="B33" s="27"/>
      <c r="C33" s="37"/>
      <c r="D33" s="37"/>
      <c r="E33" s="37"/>
      <c r="F33" s="37"/>
      <c r="G33" s="40"/>
      <c r="H33" s="37"/>
      <c r="I33" s="37"/>
      <c r="J33" s="37"/>
      <c r="K33" s="37"/>
      <c r="L33" s="37"/>
      <c r="M33" s="23"/>
      <c r="N33" s="37"/>
      <c r="O33" s="37"/>
      <c r="P33" s="37"/>
      <c r="Q33" s="37"/>
      <c r="R33" s="37"/>
      <c r="S33" s="39"/>
      <c r="T33" s="39"/>
    </row>
    <row r="34" ht="22.5" hidden="1" customHeight="1">
      <c r="A34" s="31" t="s">
        <v>43</v>
      </c>
      <c r="B34" s="38">
        <v>46176.770904861114</v>
      </c>
      <c r="C34" s="28" t="s">
        <v>77</v>
      </c>
      <c r="D34" s="28" t="s">
        <v>20</v>
      </c>
      <c r="E34" s="28" t="s">
        <v>21</v>
      </c>
      <c r="F34" s="28">
        <v>1.7</v>
      </c>
      <c r="G34" s="37"/>
      <c r="H34" s="37"/>
      <c r="I34" s="35">
        <f t="array" ref="I34">IF(D34=0,0,XLOOKUP(D34,Costos!$B$3:$B$6,Costos!$G$3:$G$6)*F34)</f>
        <v>306</v>
      </c>
      <c r="J34" s="35">
        <f>G34*(Costos!$I$2+Costos!$I$3)*24</f>
        <v>0</v>
      </c>
      <c r="K34" s="28" t="s">
        <v>45</v>
      </c>
      <c r="L34" s="37">
        <f>IF(K34="Cúmulo VIP",Costos!$I$4,0)</f>
        <v>0</v>
      </c>
      <c r="M34" s="35"/>
      <c r="N34" s="35">
        <f t="shared" ref="N34:N38" si="6">O34+P34</f>
        <v>145.86</v>
      </c>
      <c r="O34" s="35">
        <f t="array" ref="O34">F34*XLOOKUP(D34,Costos!$B:$B,Costos!$E:$E)</f>
        <v>145.86</v>
      </c>
      <c r="P34" s="35">
        <f>G34*24*Costos!$I$3</f>
        <v>0</v>
      </c>
      <c r="Q34" s="37"/>
      <c r="R34" s="37"/>
      <c r="S34" s="39"/>
      <c r="T34" s="39"/>
    </row>
    <row r="35" ht="22.5" customHeight="1">
      <c r="A35" s="26" t="s">
        <v>43</v>
      </c>
      <c r="B35" s="38">
        <v>46183.775025625</v>
      </c>
      <c r="C35" s="28" t="s">
        <v>78</v>
      </c>
      <c r="D35" s="28" t="s">
        <v>20</v>
      </c>
      <c r="E35" s="28" t="s">
        <v>38</v>
      </c>
      <c r="F35" s="28">
        <v>14.2</v>
      </c>
      <c r="G35" s="37"/>
      <c r="H35" s="37"/>
      <c r="I35" s="35">
        <f t="array" ref="I35">IF(D35=0,0,XLOOKUP(D35,Costos!$B$3:$B131,Costos!$G$3:$G131)*F35)</f>
        <v>2556</v>
      </c>
      <c r="J35" s="35">
        <f>G35*(Costos!$I$2+Costos!$I$3)*24</f>
        <v>0</v>
      </c>
      <c r="K35" s="28" t="s">
        <v>45</v>
      </c>
      <c r="L35" s="37">
        <f>IF(K35="Cúmulo VIP",Costos!$I$4,0)</f>
        <v>0</v>
      </c>
      <c r="M35" s="23">
        <f t="shared" ref="M35:M38" si="7">IF(K35="Proyecto Cúmulo",0,MROUND(SUM(I35:J35)*(1-L35), 100))</f>
        <v>0</v>
      </c>
      <c r="N35" s="35">
        <f t="shared" si="6"/>
        <v>1218.36</v>
      </c>
      <c r="O35" s="35">
        <f t="array" ref="O35">F35*XLOOKUP(D35,Costos!$B:$B,Costos!$E:$E)</f>
        <v>1218.36</v>
      </c>
      <c r="P35" s="35">
        <f>G35*24*Costos!$I$3</f>
        <v>0</v>
      </c>
      <c r="Q35" s="37"/>
      <c r="R35" s="37"/>
      <c r="S35" s="39"/>
      <c r="T35" s="39"/>
    </row>
    <row r="36" ht="22.5" customHeight="1">
      <c r="A36" s="26" t="s">
        <v>36</v>
      </c>
      <c r="B36" s="38">
        <v>46185.74787472222</v>
      </c>
      <c r="C36" s="28" t="s">
        <v>79</v>
      </c>
      <c r="D36" s="28" t="s">
        <v>80</v>
      </c>
      <c r="E36" s="28" t="s">
        <v>21</v>
      </c>
      <c r="F36" s="28">
        <v>36.18</v>
      </c>
      <c r="G36" s="40">
        <v>0.10972222222335404</v>
      </c>
      <c r="H36" s="28">
        <v>0.0</v>
      </c>
      <c r="I36" s="37">
        <f t="array" ref="I36">IF(D36=0,0,XLOOKUP(D36,Costos!$B$3:$B131,Costos!$G$3:$G131)*F36)</f>
        <v>8321.4</v>
      </c>
      <c r="J36" s="37">
        <f>G36*(Costos!$I$2+Costos!$I$3)*24</f>
        <v>3160</v>
      </c>
      <c r="K36" s="28" t="s">
        <v>22</v>
      </c>
      <c r="L36" s="36">
        <f>IF(K36="Cúmulo VIP",Costos!$I$4,0)</f>
        <v>0.2</v>
      </c>
      <c r="M36" s="23">
        <f t="shared" si="7"/>
        <v>9200</v>
      </c>
      <c r="N36" s="35">
        <f t="shared" si="6"/>
        <v>4535.410667</v>
      </c>
      <c r="O36" s="35">
        <f t="array" ref="O36">F36*XLOOKUP(D36,Costos!$B:$B,Costos!$E:$E)</f>
        <v>4008.744</v>
      </c>
      <c r="P36" s="37">
        <f>G36*24*Costos!$I$3</f>
        <v>526.6666667</v>
      </c>
      <c r="Q36" s="37"/>
      <c r="R36" s="37"/>
      <c r="S36" s="39"/>
      <c r="T36" s="39"/>
    </row>
    <row r="37" ht="22.5" customHeight="1">
      <c r="A37" s="26" t="s">
        <v>81</v>
      </c>
      <c r="B37" s="38">
        <v>46191.698448043986</v>
      </c>
      <c r="C37" s="28" t="s">
        <v>82</v>
      </c>
      <c r="D37" s="28" t="s">
        <v>83</v>
      </c>
      <c r="E37" s="28" t="s">
        <v>84</v>
      </c>
      <c r="F37" s="28">
        <v>180.0</v>
      </c>
      <c r="G37" s="40">
        <v>0.5416666666642413</v>
      </c>
      <c r="H37" s="28">
        <v>0.0</v>
      </c>
      <c r="I37" s="37">
        <f t="array" ref="I37">IF(D37=0,0,XLOOKUP(D37,Costos!$B$3:$B131,Costos!$G$3:$G131)*F37)</f>
        <v>41400</v>
      </c>
      <c r="J37" s="37">
        <f>G37*(Costos!$I$2+Costos!$I$3)*24</f>
        <v>15600</v>
      </c>
      <c r="K37" s="28" t="s">
        <v>22</v>
      </c>
      <c r="L37" s="36">
        <f>IF(K37="Cúmulo VIP",Costos!$I$4,0)</f>
        <v>0.2</v>
      </c>
      <c r="M37" s="23">
        <f t="shared" si="7"/>
        <v>45600</v>
      </c>
      <c r="N37" s="35">
        <f t="shared" si="6"/>
        <v>20744</v>
      </c>
      <c r="O37" s="35">
        <f t="array" ref="O37">F37*XLOOKUP(D37,Costos!$B:$B,Costos!$E:$E)</f>
        <v>18144</v>
      </c>
      <c r="P37" s="37">
        <f>G37*24*Costos!$I$3</f>
        <v>2600</v>
      </c>
      <c r="Q37" s="37"/>
      <c r="R37" s="37"/>
      <c r="S37" s="39"/>
      <c r="T37" s="39"/>
    </row>
    <row r="38" ht="22.5" customHeight="1">
      <c r="A38" s="26" t="s">
        <v>85</v>
      </c>
      <c r="B38" s="38">
        <v>46204.57025902778</v>
      </c>
      <c r="C38" s="28" t="s">
        <v>86</v>
      </c>
      <c r="D38" s="28" t="s">
        <v>31</v>
      </c>
      <c r="E38" s="28" t="s">
        <v>32</v>
      </c>
      <c r="F38" s="28">
        <v>7.8</v>
      </c>
      <c r="G38" s="40">
        <v>0.024305555554747116</v>
      </c>
      <c r="H38" s="28">
        <v>0.0</v>
      </c>
      <c r="I38" s="35">
        <f t="array" ref="I38">IF(D38=0,0,XLOOKUP(D38,Costos!$B$3:$B131,Costos!$G$3:$G131)*F38)</f>
        <v>1638</v>
      </c>
      <c r="J38" s="37">
        <f>G38*(Costos!$I$2+Costos!$I$3)*24</f>
        <v>700</v>
      </c>
      <c r="K38" s="28" t="s">
        <v>22</v>
      </c>
      <c r="L38" s="36">
        <f>IF(K38="Cúmulo VIP",Costos!$I$4,0)</f>
        <v>0.2</v>
      </c>
      <c r="M38" s="35">
        <f t="shared" si="7"/>
        <v>1900</v>
      </c>
      <c r="N38" s="35">
        <f t="shared" si="6"/>
        <v>746.9066667</v>
      </c>
      <c r="O38" s="35">
        <f t="array" ref="O38">F38*XLOOKUP(D38,Costos!$B:$B,Costos!$E:$E)</f>
        <v>630.24</v>
      </c>
      <c r="P38" s="37">
        <f>G38*24*Costos!$I$3</f>
        <v>116.6666667</v>
      </c>
      <c r="Q38" s="37"/>
      <c r="R38" s="37"/>
      <c r="S38" s="39"/>
      <c r="T38" s="39"/>
    </row>
    <row r="39">
      <c r="A39" s="8"/>
      <c r="B39" s="8"/>
      <c r="C39" s="8"/>
      <c r="D39" s="8"/>
      <c r="E39" s="8"/>
      <c r="F39" s="42"/>
      <c r="G39" s="43"/>
      <c r="H39" s="8"/>
      <c r="I39" s="44"/>
      <c r="J39" s="44"/>
      <c r="K39" s="8"/>
      <c r="L39" s="8"/>
      <c r="M39" s="45"/>
      <c r="N39" s="46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42"/>
      <c r="G40" s="43"/>
      <c r="H40" s="8"/>
      <c r="I40" s="44"/>
      <c r="J40" s="44"/>
      <c r="K40" s="8"/>
      <c r="L40" s="8"/>
      <c r="M40" s="45"/>
      <c r="N40" s="46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42"/>
      <c r="G41" s="43"/>
      <c r="H41" s="8"/>
      <c r="I41" s="44"/>
      <c r="J41" s="44"/>
      <c r="K41" s="8"/>
      <c r="L41" s="8"/>
      <c r="M41" s="45"/>
      <c r="N41" s="46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42"/>
      <c r="G42" s="43"/>
      <c r="H42" s="8"/>
      <c r="I42" s="44"/>
      <c r="J42" s="44"/>
      <c r="K42" s="8"/>
      <c r="L42" s="8"/>
      <c r="M42" s="45"/>
      <c r="N42" s="46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42"/>
      <c r="G43" s="43"/>
      <c r="H43" s="8"/>
      <c r="I43" s="44"/>
      <c r="J43" s="44"/>
      <c r="K43" s="8"/>
      <c r="L43" s="8"/>
      <c r="M43" s="45"/>
      <c r="N43" s="46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42"/>
      <c r="G44" s="43"/>
      <c r="H44" s="8"/>
      <c r="I44" s="44"/>
      <c r="J44" s="44"/>
      <c r="K44" s="8"/>
      <c r="L44" s="8"/>
      <c r="M44" s="45"/>
      <c r="N44" s="46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42"/>
      <c r="G45" s="43"/>
      <c r="H45" s="8"/>
      <c r="I45" s="44"/>
      <c r="J45" s="44"/>
      <c r="K45" s="8"/>
      <c r="L45" s="8"/>
      <c r="M45" s="45"/>
      <c r="N45" s="46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42"/>
      <c r="G46" s="43"/>
      <c r="H46" s="8"/>
      <c r="I46" s="44"/>
      <c r="J46" s="44"/>
      <c r="K46" s="8"/>
      <c r="L46" s="8"/>
      <c r="M46" s="45"/>
      <c r="N46" s="46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42"/>
      <c r="G47" s="43"/>
      <c r="H47" s="8"/>
      <c r="I47" s="44"/>
      <c r="J47" s="44"/>
      <c r="K47" s="8"/>
      <c r="L47" s="8"/>
      <c r="M47" s="45"/>
      <c r="N47" s="46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42"/>
      <c r="G48" s="43"/>
      <c r="H48" s="8"/>
      <c r="I48" s="44"/>
      <c r="J48" s="44"/>
      <c r="K48" s="8"/>
      <c r="L48" s="8"/>
      <c r="M48" s="45"/>
      <c r="N48" s="46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42"/>
      <c r="G49" s="43"/>
      <c r="H49" s="8"/>
      <c r="I49" s="44"/>
      <c r="J49" s="44"/>
      <c r="K49" s="8"/>
      <c r="L49" s="8"/>
      <c r="M49" s="45"/>
      <c r="N49" s="46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42"/>
      <c r="G50" s="43"/>
      <c r="H50" s="8"/>
      <c r="I50" s="44"/>
      <c r="J50" s="44"/>
      <c r="K50" s="8"/>
      <c r="L50" s="8"/>
      <c r="M50" s="45"/>
      <c r="N50" s="46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42"/>
      <c r="G51" s="43"/>
      <c r="H51" s="8"/>
      <c r="I51" s="44"/>
      <c r="J51" s="44"/>
      <c r="K51" s="8"/>
      <c r="L51" s="8"/>
      <c r="M51" s="45"/>
      <c r="N51" s="46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42"/>
      <c r="G52" s="43"/>
      <c r="H52" s="8"/>
      <c r="I52" s="44"/>
      <c r="J52" s="44"/>
      <c r="K52" s="8"/>
      <c r="L52" s="8"/>
      <c r="M52" s="45"/>
      <c r="N52" s="46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42"/>
      <c r="G53" s="43"/>
      <c r="H53" s="8"/>
      <c r="I53" s="44"/>
      <c r="J53" s="44"/>
      <c r="K53" s="8"/>
      <c r="L53" s="8"/>
      <c r="M53" s="45"/>
      <c r="N53" s="46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42"/>
      <c r="G54" s="43"/>
      <c r="H54" s="8"/>
      <c r="I54" s="44"/>
      <c r="J54" s="44"/>
      <c r="K54" s="8"/>
      <c r="L54" s="8"/>
      <c r="M54" s="45"/>
      <c r="N54" s="46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42"/>
      <c r="G55" s="43"/>
      <c r="H55" s="8"/>
      <c r="I55" s="44"/>
      <c r="J55" s="44"/>
      <c r="K55" s="8"/>
      <c r="L55" s="8"/>
      <c r="M55" s="45"/>
      <c r="N55" s="46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42"/>
      <c r="G56" s="43"/>
      <c r="H56" s="8"/>
      <c r="I56" s="44"/>
      <c r="J56" s="44"/>
      <c r="K56" s="8"/>
      <c r="L56" s="8"/>
      <c r="M56" s="45"/>
      <c r="N56" s="46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42"/>
      <c r="G57" s="43"/>
      <c r="H57" s="8"/>
      <c r="I57" s="44"/>
      <c r="J57" s="44"/>
      <c r="K57" s="8"/>
      <c r="L57" s="8"/>
      <c r="M57" s="45"/>
      <c r="N57" s="46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42"/>
      <c r="G58" s="43"/>
      <c r="H58" s="8"/>
      <c r="I58" s="44"/>
      <c r="J58" s="44"/>
      <c r="K58" s="8"/>
      <c r="L58" s="8"/>
      <c r="M58" s="45"/>
      <c r="N58" s="46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42"/>
      <c r="G59" s="43"/>
      <c r="H59" s="8"/>
      <c r="I59" s="44"/>
      <c r="J59" s="44"/>
      <c r="K59" s="8"/>
      <c r="L59" s="8"/>
      <c r="M59" s="45"/>
      <c r="N59" s="46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42"/>
      <c r="G60" s="43"/>
      <c r="H60" s="8"/>
      <c r="I60" s="44"/>
      <c r="J60" s="44"/>
      <c r="K60" s="8"/>
      <c r="L60" s="8"/>
      <c r="M60" s="45"/>
      <c r="N60" s="46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42"/>
      <c r="G61" s="43"/>
      <c r="H61" s="8"/>
      <c r="I61" s="44"/>
      <c r="J61" s="44"/>
      <c r="K61" s="8"/>
      <c r="L61" s="8"/>
      <c r="M61" s="45"/>
      <c r="N61" s="46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42"/>
      <c r="G62" s="43"/>
      <c r="H62" s="8"/>
      <c r="I62" s="44"/>
      <c r="J62" s="44"/>
      <c r="K62" s="8"/>
      <c r="L62" s="8"/>
      <c r="M62" s="45"/>
      <c r="N62" s="46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42"/>
      <c r="G63" s="43"/>
      <c r="H63" s="8"/>
      <c r="I63" s="44"/>
      <c r="J63" s="44"/>
      <c r="K63" s="8"/>
      <c r="L63" s="8"/>
      <c r="M63" s="45"/>
      <c r="N63" s="46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42"/>
      <c r="G64" s="43"/>
      <c r="H64" s="8"/>
      <c r="I64" s="44"/>
      <c r="J64" s="44"/>
      <c r="K64" s="8"/>
      <c r="L64" s="8"/>
      <c r="M64" s="45"/>
      <c r="N64" s="46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42"/>
      <c r="G65" s="43"/>
      <c r="H65" s="8"/>
      <c r="I65" s="44"/>
      <c r="J65" s="44"/>
      <c r="K65" s="8"/>
      <c r="L65" s="8"/>
      <c r="M65" s="45"/>
      <c r="N65" s="46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42"/>
      <c r="G66" s="43"/>
      <c r="H66" s="8"/>
      <c r="I66" s="44"/>
      <c r="J66" s="44"/>
      <c r="K66" s="8"/>
      <c r="L66" s="8"/>
      <c r="M66" s="45"/>
      <c r="N66" s="46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42"/>
      <c r="G67" s="43"/>
      <c r="H67" s="8"/>
      <c r="I67" s="44"/>
      <c r="J67" s="44"/>
      <c r="K67" s="8"/>
      <c r="L67" s="8"/>
      <c r="M67" s="45"/>
      <c r="N67" s="46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42"/>
      <c r="G68" s="43"/>
      <c r="H68" s="8"/>
      <c r="I68" s="44"/>
      <c r="J68" s="44"/>
      <c r="K68" s="8"/>
      <c r="L68" s="8"/>
      <c r="M68" s="45"/>
      <c r="N68" s="46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42"/>
      <c r="G69" s="43"/>
      <c r="H69" s="8"/>
      <c r="I69" s="44"/>
      <c r="J69" s="44"/>
      <c r="K69" s="8"/>
      <c r="L69" s="8"/>
      <c r="M69" s="45"/>
      <c r="N69" s="46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42"/>
      <c r="G70" s="43"/>
      <c r="H70" s="8"/>
      <c r="I70" s="44"/>
      <c r="J70" s="44"/>
      <c r="K70" s="8"/>
      <c r="L70" s="8"/>
      <c r="M70" s="45"/>
      <c r="N70" s="46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42"/>
      <c r="G71" s="43"/>
      <c r="H71" s="8"/>
      <c r="I71" s="44"/>
      <c r="J71" s="44"/>
      <c r="K71" s="8"/>
      <c r="L71" s="8"/>
      <c r="M71" s="45"/>
      <c r="N71" s="46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42"/>
      <c r="G72" s="43"/>
      <c r="H72" s="8"/>
      <c r="I72" s="44"/>
      <c r="J72" s="44"/>
      <c r="K72" s="8"/>
      <c r="L72" s="8"/>
      <c r="M72" s="45"/>
      <c r="N72" s="46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42"/>
      <c r="G73" s="43"/>
      <c r="H73" s="8"/>
      <c r="I73" s="44"/>
      <c r="J73" s="44"/>
      <c r="K73" s="8"/>
      <c r="L73" s="8"/>
      <c r="M73" s="45"/>
      <c r="N73" s="46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42"/>
      <c r="G74" s="43"/>
      <c r="H74" s="8"/>
      <c r="I74" s="44"/>
      <c r="J74" s="44"/>
      <c r="K74" s="8"/>
      <c r="L74" s="8"/>
      <c r="M74" s="45"/>
      <c r="N74" s="46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42"/>
      <c r="G75" s="43"/>
      <c r="H75" s="8"/>
      <c r="I75" s="44"/>
      <c r="J75" s="44"/>
      <c r="K75" s="8"/>
      <c r="L75" s="8"/>
      <c r="M75" s="45"/>
      <c r="N75" s="46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42"/>
      <c r="G76" s="43"/>
      <c r="H76" s="8"/>
      <c r="I76" s="44"/>
      <c r="J76" s="44"/>
      <c r="K76" s="8"/>
      <c r="L76" s="8"/>
      <c r="M76" s="45"/>
      <c r="N76" s="46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42"/>
      <c r="G77" s="43"/>
      <c r="H77" s="8"/>
      <c r="I77" s="44"/>
      <c r="J77" s="44"/>
      <c r="K77" s="8"/>
      <c r="L77" s="8"/>
      <c r="M77" s="45"/>
      <c r="N77" s="46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42"/>
      <c r="G78" s="43"/>
      <c r="H78" s="8"/>
      <c r="I78" s="44"/>
      <c r="J78" s="44"/>
      <c r="K78" s="8"/>
      <c r="L78" s="8"/>
      <c r="M78" s="45"/>
      <c r="N78" s="46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42"/>
      <c r="G79" s="43"/>
      <c r="H79" s="8"/>
      <c r="I79" s="44"/>
      <c r="J79" s="44"/>
      <c r="K79" s="8"/>
      <c r="L79" s="8"/>
      <c r="M79" s="45"/>
      <c r="N79" s="46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42"/>
      <c r="G80" s="43"/>
      <c r="H80" s="8"/>
      <c r="I80" s="44"/>
      <c r="J80" s="44"/>
      <c r="K80" s="8"/>
      <c r="L80" s="8"/>
      <c r="M80" s="45"/>
      <c r="N80" s="46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42"/>
      <c r="G81" s="43"/>
      <c r="H81" s="8"/>
      <c r="I81" s="44"/>
      <c r="J81" s="44"/>
      <c r="K81" s="8"/>
      <c r="L81" s="8"/>
      <c r="M81" s="45"/>
      <c r="N81" s="46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42"/>
      <c r="G82" s="43"/>
      <c r="H82" s="8"/>
      <c r="I82" s="44"/>
      <c r="J82" s="44"/>
      <c r="K82" s="8"/>
      <c r="L82" s="8"/>
      <c r="M82" s="45"/>
      <c r="N82" s="46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42"/>
      <c r="G83" s="43"/>
      <c r="H83" s="8"/>
      <c r="I83" s="44"/>
      <c r="J83" s="44"/>
      <c r="K83" s="8"/>
      <c r="L83" s="8"/>
      <c r="M83" s="45"/>
      <c r="N83" s="46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42"/>
      <c r="G84" s="43"/>
      <c r="H84" s="8"/>
      <c r="I84" s="44"/>
      <c r="J84" s="44"/>
      <c r="K84" s="8"/>
      <c r="L84" s="8"/>
      <c r="M84" s="45"/>
      <c r="N84" s="46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42"/>
      <c r="G85" s="43"/>
      <c r="H85" s="8"/>
      <c r="I85" s="44"/>
      <c r="J85" s="44"/>
      <c r="K85" s="8"/>
      <c r="L85" s="8"/>
      <c r="M85" s="45"/>
      <c r="N85" s="46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42"/>
      <c r="G86" s="43"/>
      <c r="H86" s="8"/>
      <c r="I86" s="44"/>
      <c r="J86" s="44"/>
      <c r="K86" s="8"/>
      <c r="L86" s="8"/>
      <c r="M86" s="45"/>
      <c r="N86" s="46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42"/>
      <c r="G87" s="43"/>
      <c r="H87" s="8"/>
      <c r="I87" s="44"/>
      <c r="J87" s="44"/>
      <c r="K87" s="8"/>
      <c r="L87" s="8"/>
      <c r="M87" s="45"/>
      <c r="N87" s="46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42"/>
      <c r="G88" s="43"/>
      <c r="H88" s="8"/>
      <c r="I88" s="44"/>
      <c r="J88" s="44"/>
      <c r="K88" s="8"/>
      <c r="L88" s="8"/>
      <c r="M88" s="45"/>
      <c r="N88" s="46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42"/>
      <c r="G89" s="43"/>
      <c r="H89" s="8"/>
      <c r="I89" s="44"/>
      <c r="J89" s="44"/>
      <c r="K89" s="8"/>
      <c r="L89" s="8"/>
      <c r="M89" s="45"/>
      <c r="N89" s="46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42"/>
      <c r="G90" s="43"/>
      <c r="H90" s="8"/>
      <c r="I90" s="44"/>
      <c r="J90" s="44"/>
      <c r="K90" s="8"/>
      <c r="L90" s="8"/>
      <c r="M90" s="45"/>
      <c r="N90" s="46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42"/>
      <c r="G91" s="43"/>
      <c r="H91" s="8"/>
      <c r="I91" s="44"/>
      <c r="J91" s="44"/>
      <c r="K91" s="8"/>
      <c r="L91" s="8"/>
      <c r="M91" s="45"/>
      <c r="N91" s="46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42"/>
      <c r="G92" s="43"/>
      <c r="H92" s="8"/>
      <c r="I92" s="44"/>
      <c r="J92" s="44"/>
      <c r="K92" s="8"/>
      <c r="L92" s="8"/>
      <c r="M92" s="45"/>
      <c r="N92" s="46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42"/>
      <c r="G93" s="43"/>
      <c r="H93" s="8"/>
      <c r="I93" s="44"/>
      <c r="J93" s="44"/>
      <c r="K93" s="8"/>
      <c r="L93" s="8"/>
      <c r="M93" s="45"/>
      <c r="N93" s="46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42"/>
      <c r="G94" s="43"/>
      <c r="H94" s="8"/>
      <c r="I94" s="44"/>
      <c r="J94" s="44"/>
      <c r="K94" s="8"/>
      <c r="L94" s="8"/>
      <c r="M94" s="45"/>
      <c r="N94" s="46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42"/>
      <c r="G95" s="43"/>
      <c r="H95" s="8"/>
      <c r="I95" s="44"/>
      <c r="J95" s="44"/>
      <c r="K95" s="8"/>
      <c r="L95" s="8"/>
      <c r="M95" s="45"/>
      <c r="N95" s="46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42"/>
      <c r="G96" s="43"/>
      <c r="H96" s="8"/>
      <c r="I96" s="44"/>
      <c r="J96" s="44"/>
      <c r="K96" s="8"/>
      <c r="L96" s="8"/>
      <c r="M96" s="45"/>
      <c r="N96" s="46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42"/>
      <c r="G97" s="43"/>
      <c r="H97" s="8"/>
      <c r="I97" s="44"/>
      <c r="J97" s="44"/>
      <c r="K97" s="8"/>
      <c r="L97" s="8"/>
      <c r="M97" s="45"/>
      <c r="N97" s="46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42"/>
      <c r="G98" s="43"/>
      <c r="H98" s="8"/>
      <c r="I98" s="44"/>
      <c r="J98" s="44"/>
      <c r="K98" s="8"/>
      <c r="L98" s="8"/>
      <c r="M98" s="45"/>
      <c r="N98" s="46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42"/>
      <c r="G99" s="43"/>
      <c r="H99" s="8"/>
      <c r="I99" s="44"/>
      <c r="J99" s="44"/>
      <c r="K99" s="8"/>
      <c r="L99" s="8"/>
      <c r="M99" s="45"/>
      <c r="N99" s="46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42"/>
      <c r="G100" s="43"/>
      <c r="H100" s="8"/>
      <c r="I100" s="44"/>
      <c r="J100" s="44"/>
      <c r="K100" s="8"/>
      <c r="L100" s="8"/>
      <c r="M100" s="45"/>
      <c r="N100" s="46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42"/>
      <c r="G101" s="43"/>
      <c r="H101" s="8"/>
      <c r="I101" s="44"/>
      <c r="J101" s="44"/>
      <c r="K101" s="8"/>
      <c r="L101" s="8"/>
      <c r="M101" s="45"/>
      <c r="N101" s="46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42"/>
      <c r="G102" s="43"/>
      <c r="H102" s="8"/>
      <c r="I102" s="44"/>
      <c r="J102" s="44"/>
      <c r="K102" s="8"/>
      <c r="L102" s="8"/>
      <c r="M102" s="45"/>
      <c r="N102" s="46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42"/>
      <c r="G103" s="43"/>
      <c r="H103" s="8"/>
      <c r="I103" s="44"/>
      <c r="J103" s="44"/>
      <c r="K103" s="8"/>
      <c r="L103" s="8"/>
      <c r="M103" s="45"/>
      <c r="N103" s="46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42"/>
      <c r="G104" s="43"/>
      <c r="H104" s="8"/>
      <c r="I104" s="44"/>
      <c r="J104" s="44"/>
      <c r="K104" s="8"/>
      <c r="L104" s="8"/>
      <c r="M104" s="45"/>
      <c r="N104" s="46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42"/>
      <c r="G105" s="43"/>
      <c r="H105" s="8"/>
      <c r="I105" s="44"/>
      <c r="J105" s="44"/>
      <c r="K105" s="8"/>
      <c r="L105" s="8"/>
      <c r="M105" s="45"/>
      <c r="N105" s="46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42"/>
      <c r="G106" s="43"/>
      <c r="H106" s="8"/>
      <c r="I106" s="44"/>
      <c r="J106" s="44"/>
      <c r="K106" s="8"/>
      <c r="L106" s="8"/>
      <c r="M106" s="45"/>
      <c r="N106" s="46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42"/>
      <c r="G107" s="43"/>
      <c r="H107" s="8"/>
      <c r="I107" s="44"/>
      <c r="J107" s="44"/>
      <c r="K107" s="8"/>
      <c r="L107" s="8"/>
      <c r="M107" s="45"/>
      <c r="N107" s="46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42"/>
      <c r="G108" s="43"/>
      <c r="H108" s="8"/>
      <c r="I108" s="44"/>
      <c r="J108" s="44"/>
      <c r="K108" s="8"/>
      <c r="L108" s="8"/>
      <c r="M108" s="45"/>
      <c r="N108" s="46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42"/>
      <c r="G109" s="43"/>
      <c r="H109" s="8"/>
      <c r="I109" s="44"/>
      <c r="J109" s="44"/>
      <c r="K109" s="8"/>
      <c r="L109" s="8"/>
      <c r="M109" s="45"/>
      <c r="N109" s="46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42"/>
      <c r="G110" s="43"/>
      <c r="H110" s="8"/>
      <c r="I110" s="44"/>
      <c r="J110" s="44"/>
      <c r="K110" s="8"/>
      <c r="L110" s="8"/>
      <c r="M110" s="45"/>
      <c r="N110" s="46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42"/>
      <c r="G111" s="43"/>
      <c r="H111" s="8"/>
      <c r="I111" s="44"/>
      <c r="J111" s="44"/>
      <c r="K111" s="8"/>
      <c r="L111" s="8"/>
      <c r="M111" s="45"/>
      <c r="N111" s="46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42"/>
      <c r="G112" s="43"/>
      <c r="H112" s="8"/>
      <c r="I112" s="44"/>
      <c r="J112" s="44"/>
      <c r="K112" s="8"/>
      <c r="L112" s="8"/>
      <c r="M112" s="45"/>
      <c r="N112" s="46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42"/>
      <c r="G113" s="43"/>
      <c r="H113" s="8"/>
      <c r="I113" s="44"/>
      <c r="J113" s="44"/>
      <c r="K113" s="8"/>
      <c r="L113" s="8"/>
      <c r="M113" s="45"/>
      <c r="N113" s="46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42"/>
      <c r="G114" s="43"/>
      <c r="H114" s="8"/>
      <c r="I114" s="44"/>
      <c r="J114" s="44"/>
      <c r="K114" s="8"/>
      <c r="L114" s="8"/>
      <c r="M114" s="45"/>
      <c r="N114" s="46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42"/>
      <c r="G115" s="43"/>
      <c r="H115" s="8"/>
      <c r="I115" s="44"/>
      <c r="J115" s="44"/>
      <c r="K115" s="8"/>
      <c r="L115" s="8"/>
      <c r="M115" s="45"/>
      <c r="N115" s="46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42"/>
      <c r="G116" s="43"/>
      <c r="H116" s="8"/>
      <c r="I116" s="44"/>
      <c r="J116" s="44"/>
      <c r="K116" s="8"/>
      <c r="L116" s="8"/>
      <c r="M116" s="45"/>
      <c r="N116" s="46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42"/>
      <c r="G117" s="43"/>
      <c r="H117" s="8"/>
      <c r="I117" s="44"/>
      <c r="J117" s="44"/>
      <c r="K117" s="8"/>
      <c r="L117" s="8"/>
      <c r="M117" s="45"/>
      <c r="N117" s="46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42"/>
      <c r="G118" s="43"/>
      <c r="H118" s="8"/>
      <c r="I118" s="44"/>
      <c r="J118" s="44"/>
      <c r="K118" s="8"/>
      <c r="L118" s="8"/>
      <c r="M118" s="45"/>
      <c r="N118" s="46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42"/>
      <c r="G119" s="43"/>
      <c r="H119" s="8"/>
      <c r="I119" s="44"/>
      <c r="J119" s="44"/>
      <c r="K119" s="8"/>
      <c r="L119" s="8"/>
      <c r="M119" s="45"/>
      <c r="N119" s="46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42"/>
      <c r="G120" s="43"/>
      <c r="H120" s="8"/>
      <c r="I120" s="44"/>
      <c r="J120" s="44"/>
      <c r="K120" s="8"/>
      <c r="L120" s="8"/>
      <c r="M120" s="45"/>
      <c r="N120" s="46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42"/>
      <c r="G121" s="43"/>
      <c r="H121" s="8"/>
      <c r="I121" s="44"/>
      <c r="J121" s="44"/>
      <c r="K121" s="8"/>
      <c r="L121" s="8"/>
      <c r="M121" s="45"/>
      <c r="N121" s="46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42"/>
      <c r="G122" s="43"/>
      <c r="H122" s="8"/>
      <c r="I122" s="44"/>
      <c r="J122" s="44"/>
      <c r="K122" s="8"/>
      <c r="L122" s="8"/>
      <c r="M122" s="45"/>
      <c r="N122" s="46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42"/>
      <c r="G123" s="43"/>
      <c r="H123" s="8"/>
      <c r="I123" s="44"/>
      <c r="J123" s="44"/>
      <c r="K123" s="8"/>
      <c r="L123" s="8"/>
      <c r="M123" s="45"/>
      <c r="N123" s="46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42"/>
      <c r="G124" s="43"/>
      <c r="H124" s="8"/>
      <c r="I124" s="44"/>
      <c r="J124" s="44"/>
      <c r="K124" s="8"/>
      <c r="L124" s="8"/>
      <c r="M124" s="45"/>
      <c r="N124" s="46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42"/>
      <c r="G125" s="43"/>
      <c r="H125" s="8"/>
      <c r="I125" s="44"/>
      <c r="J125" s="44"/>
      <c r="K125" s="8"/>
      <c r="L125" s="8"/>
      <c r="M125" s="45"/>
      <c r="N125" s="46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42"/>
      <c r="G126" s="43"/>
      <c r="H126" s="8"/>
      <c r="I126" s="44"/>
      <c r="J126" s="44"/>
      <c r="K126" s="8"/>
      <c r="L126" s="8"/>
      <c r="M126" s="45"/>
      <c r="N126" s="46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42"/>
      <c r="G127" s="43"/>
      <c r="H127" s="8"/>
      <c r="I127" s="44"/>
      <c r="J127" s="44"/>
      <c r="K127" s="8"/>
      <c r="L127" s="8"/>
      <c r="M127" s="45"/>
      <c r="N127" s="46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42"/>
      <c r="G128" s="43"/>
      <c r="H128" s="8"/>
      <c r="I128" s="44"/>
      <c r="J128" s="44"/>
      <c r="K128" s="8"/>
      <c r="L128" s="8"/>
      <c r="M128" s="45"/>
      <c r="N128" s="46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42"/>
      <c r="G129" s="43"/>
      <c r="H129" s="8"/>
      <c r="I129" s="44"/>
      <c r="J129" s="44"/>
      <c r="K129" s="8"/>
      <c r="L129" s="8"/>
      <c r="M129" s="45"/>
      <c r="N129" s="46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42"/>
      <c r="G130" s="43"/>
      <c r="H130" s="8"/>
      <c r="I130" s="44"/>
      <c r="J130" s="44"/>
      <c r="K130" s="8"/>
      <c r="L130" s="8"/>
      <c r="M130" s="45"/>
      <c r="N130" s="46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42"/>
      <c r="G131" s="43"/>
      <c r="H131" s="8"/>
      <c r="I131" s="44"/>
      <c r="J131" s="44"/>
      <c r="K131" s="8"/>
      <c r="L131" s="8"/>
      <c r="M131" s="45"/>
      <c r="N131" s="46"/>
      <c r="O131" s="8"/>
      <c r="P131" s="8"/>
      <c r="Q131" s="8"/>
      <c r="R131" s="8"/>
      <c r="S131" s="8"/>
      <c r="T131" s="8"/>
    </row>
  </sheetData>
  <dataValidations>
    <dataValidation type="list" allowBlank="1" showDropDown="1" sqref="A3:A38">
      <formula1>#REF!</formula1>
    </dataValidation>
    <dataValidation type="custom" allowBlank="1" showDropDown="1" sqref="B3:B38">
      <formula1>OR(NOT(ISERROR(DATEVALUE(B3))), AND(ISNUMBER(B3), LEFT(CELL("format", B3))="D"))</formula1>
    </dataValidation>
    <dataValidation type="custom" allowBlank="1" showDropDown="1" sqref="M3:M38">
      <formula1>AND(ISNUMBER(M3),(NOT(OR(NOT(ISERROR(DATEVALUE(M3))), AND(ISNUMBER(M3), LEFT(CELL("format", M3))="D")))))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9.75"/>
    <col customWidth="1" min="3" max="3" width="15.25"/>
    <col customWidth="1" min="4" max="4" width="13.63"/>
    <col customWidth="1" min="5" max="5" width="14.75"/>
    <col customWidth="1" min="6" max="6" width="14.88"/>
    <col customWidth="1" min="7" max="7" width="14.5"/>
    <col customWidth="1" min="8" max="8" width="18.75"/>
    <col customWidth="1" min="9" max="9" width="13.88"/>
    <col customWidth="1" min="10" max="10" width="13.38"/>
    <col customWidth="1" min="11" max="11" width="12.5"/>
  </cols>
  <sheetData>
    <row r="1">
      <c r="A1" s="47"/>
      <c r="B1" s="47"/>
      <c r="C1" s="47"/>
      <c r="D1" s="47"/>
      <c r="E1" s="47"/>
      <c r="F1" s="47"/>
      <c r="G1" s="47"/>
      <c r="H1" s="48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>
      <c r="A2" s="47"/>
      <c r="B2" s="49" t="s">
        <v>87</v>
      </c>
      <c r="C2" s="50" t="s">
        <v>88</v>
      </c>
      <c r="D2" s="50" t="s">
        <v>89</v>
      </c>
      <c r="E2" s="50" t="s">
        <v>90</v>
      </c>
      <c r="F2" s="50" t="s">
        <v>91</v>
      </c>
      <c r="G2" s="49" t="s">
        <v>92</v>
      </c>
      <c r="H2" s="50" t="s">
        <v>93</v>
      </c>
      <c r="I2" s="51">
        <v>1000.0</v>
      </c>
      <c r="J2" s="52" t="s">
        <v>94</v>
      </c>
      <c r="K2" s="48" t="s">
        <v>95</v>
      </c>
      <c r="L2" s="48" t="s">
        <v>96</v>
      </c>
      <c r="M2" s="47"/>
      <c r="N2" s="47"/>
      <c r="O2" s="52" t="s">
        <v>97</v>
      </c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>
      <c r="A3" s="47"/>
      <c r="B3" s="53" t="s">
        <v>20</v>
      </c>
      <c r="C3" s="51">
        <v>85000.0</v>
      </c>
      <c r="D3" s="51">
        <f>40000/50</f>
        <v>800</v>
      </c>
      <c r="E3" s="51">
        <f t="shared" ref="E3:E8" si="1">(C3+D3)/1000</f>
        <v>85.8</v>
      </c>
      <c r="F3" s="51">
        <f t="shared" ref="F3:F8" si="2">G3-E3</f>
        <v>94.2</v>
      </c>
      <c r="G3" s="54">
        <v>180.0</v>
      </c>
      <c r="H3" s="55" t="s">
        <v>98</v>
      </c>
      <c r="I3" s="51">
        <v>200.0</v>
      </c>
      <c r="J3" s="48">
        <v>1.0</v>
      </c>
      <c r="K3" s="51">
        <v>1000.0</v>
      </c>
      <c r="L3" s="47"/>
      <c r="M3" s="47"/>
      <c r="N3" s="52" t="s">
        <v>99</v>
      </c>
      <c r="O3" s="56"/>
      <c r="P3" s="52" t="s">
        <v>100</v>
      </c>
      <c r="Q3" s="52" t="s">
        <v>101</v>
      </c>
      <c r="R3" s="52" t="s">
        <v>101</v>
      </c>
      <c r="S3" s="52" t="s">
        <v>101</v>
      </c>
      <c r="T3" s="52" t="s">
        <v>101</v>
      </c>
      <c r="U3" s="52" t="s">
        <v>101</v>
      </c>
      <c r="V3" s="52" t="s">
        <v>101</v>
      </c>
      <c r="W3" s="52" t="s">
        <v>101</v>
      </c>
      <c r="X3" s="52" t="s">
        <v>43</v>
      </c>
      <c r="Y3" s="57"/>
      <c r="Z3" s="47"/>
      <c r="AA3" s="47"/>
      <c r="AB3" s="47"/>
      <c r="AC3" s="47"/>
      <c r="AD3" s="47"/>
    </row>
    <row r="4">
      <c r="A4" s="47"/>
      <c r="B4" s="53" t="s">
        <v>27</v>
      </c>
      <c r="C4" s="51">
        <v>95000.0</v>
      </c>
      <c r="D4" s="51">
        <f>40000/6</f>
        <v>6666.666667</v>
      </c>
      <c r="E4" s="51">
        <f t="shared" si="1"/>
        <v>101.6666667</v>
      </c>
      <c r="F4" s="51">
        <f t="shared" si="2"/>
        <v>98.33333333</v>
      </c>
      <c r="G4" s="54">
        <v>200.0</v>
      </c>
      <c r="H4" s="52" t="s">
        <v>102</v>
      </c>
      <c r="I4" s="58">
        <v>0.2</v>
      </c>
      <c r="J4" s="48">
        <v>2.0</v>
      </c>
      <c r="K4" s="51">
        <v>5000.0</v>
      </c>
      <c r="L4" s="47"/>
      <c r="M4" s="47"/>
      <c r="N4" s="48" t="s">
        <v>103</v>
      </c>
      <c r="O4" s="47"/>
      <c r="P4" s="48" t="s">
        <v>104</v>
      </c>
      <c r="Q4" s="47"/>
      <c r="R4" s="48"/>
      <c r="S4" s="59"/>
      <c r="T4" s="48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>
      <c r="A5" s="47"/>
      <c r="B5" s="53" t="s">
        <v>31</v>
      </c>
      <c r="C5" s="51">
        <v>80000.0</v>
      </c>
      <c r="D5" s="51">
        <f t="shared" ref="D5:D8" si="3">40000/50</f>
        <v>800</v>
      </c>
      <c r="E5" s="51">
        <f t="shared" si="1"/>
        <v>80.8</v>
      </c>
      <c r="F5" s="51">
        <f t="shared" si="2"/>
        <v>129.2</v>
      </c>
      <c r="G5" s="54">
        <v>210.0</v>
      </c>
      <c r="H5" s="59"/>
      <c r="I5" s="48"/>
      <c r="J5" s="48">
        <v>3.0</v>
      </c>
      <c r="K5" s="60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>
      <c r="A6" s="47"/>
      <c r="B6" s="53" t="s">
        <v>50</v>
      </c>
      <c r="C6" s="51">
        <v>90000.0</v>
      </c>
      <c r="D6" s="51">
        <f t="shared" si="3"/>
        <v>800</v>
      </c>
      <c r="E6" s="51">
        <f t="shared" si="1"/>
        <v>90.8</v>
      </c>
      <c r="F6" s="51">
        <f t="shared" si="2"/>
        <v>109.2</v>
      </c>
      <c r="G6" s="54">
        <v>200.0</v>
      </c>
      <c r="H6" s="59"/>
      <c r="I6" s="59"/>
      <c r="J6" s="48">
        <v>4.0</v>
      </c>
      <c r="K6" s="60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>
      <c r="A7" s="47"/>
      <c r="B7" s="48" t="s">
        <v>83</v>
      </c>
      <c r="C7" s="48">
        <v>100000.0</v>
      </c>
      <c r="D7" s="51">
        <f t="shared" si="3"/>
        <v>800</v>
      </c>
      <c r="E7" s="51">
        <f t="shared" si="1"/>
        <v>100.8</v>
      </c>
      <c r="F7" s="51">
        <f t="shared" si="2"/>
        <v>129.2</v>
      </c>
      <c r="G7" s="48">
        <v>230.0</v>
      </c>
      <c r="H7" s="59"/>
      <c r="I7" s="48"/>
      <c r="J7" s="48">
        <v>5.0</v>
      </c>
      <c r="K7" s="60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>
      <c r="B8" s="61" t="s">
        <v>80</v>
      </c>
      <c r="C8" s="61">
        <v>110000.0</v>
      </c>
      <c r="D8" s="51">
        <f t="shared" si="3"/>
        <v>800</v>
      </c>
      <c r="E8" s="51">
        <f t="shared" si="1"/>
        <v>110.8</v>
      </c>
      <c r="F8" s="51">
        <f t="shared" si="2"/>
        <v>119.2</v>
      </c>
      <c r="G8" s="61">
        <v>230.0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>
      <c r="A11" s="59"/>
      <c r="B11" s="47"/>
      <c r="C11" s="47"/>
      <c r="D11" s="47"/>
      <c r="E11" s="47"/>
      <c r="F11" s="59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>
      <c r="A12" s="47"/>
      <c r="B12" s="47"/>
      <c r="C12" s="47"/>
      <c r="D12" s="47"/>
      <c r="E12" s="47"/>
      <c r="F12" s="59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>
      <c r="A13" s="47"/>
      <c r="B13" s="47"/>
      <c r="C13" s="47"/>
      <c r="D13" s="47"/>
      <c r="E13" s="47"/>
      <c r="F13" s="59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>
      <c r="A14" s="47"/>
      <c r="B14" s="47"/>
      <c r="C14" s="47"/>
      <c r="D14" s="47"/>
      <c r="E14" s="47"/>
      <c r="F14" s="59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>
      <c r="A15" s="47"/>
      <c r="B15" s="47"/>
      <c r="C15" s="47"/>
      <c r="D15" s="47"/>
      <c r="E15" s="47"/>
      <c r="F15" s="59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>
      <c r="A16" s="47"/>
      <c r="B16" s="47"/>
      <c r="C16" s="47"/>
      <c r="D16" s="47"/>
      <c r="E16" s="47"/>
      <c r="F16" s="59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>
      <c r="A17" s="47"/>
      <c r="B17" s="47"/>
      <c r="C17" s="47"/>
      <c r="D17" s="47"/>
      <c r="E17" s="47"/>
      <c r="F17" s="59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>
      <c r="A18" s="47"/>
      <c r="B18" s="47"/>
      <c r="C18" s="47"/>
      <c r="D18" s="47"/>
      <c r="E18" s="47"/>
      <c r="F18" s="59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>
      <c r="A19" s="47"/>
      <c r="B19" s="47"/>
      <c r="C19" s="47"/>
      <c r="D19" s="47"/>
      <c r="E19" s="47"/>
      <c r="F19" s="59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>
      <c r="A20" s="47"/>
      <c r="B20" s="47"/>
      <c r="C20" s="47"/>
      <c r="D20" s="47"/>
      <c r="E20" s="47"/>
      <c r="F20" s="59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>
      <c r="A21" s="47"/>
      <c r="B21" s="47"/>
      <c r="C21" s="47"/>
      <c r="D21" s="47"/>
      <c r="E21" s="47"/>
      <c r="F21" s="59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>
      <c r="A22" s="47"/>
      <c r="B22" s="47"/>
      <c r="C22" s="47"/>
      <c r="D22" s="47"/>
      <c r="E22" s="47"/>
      <c r="F22" s="59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>
      <c r="A23" s="47"/>
      <c r="B23" s="47"/>
      <c r="C23" s="47"/>
      <c r="D23" s="47"/>
      <c r="E23" s="47"/>
      <c r="F23" s="59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>
      <c r="A24" s="47"/>
      <c r="B24" s="47"/>
      <c r="C24" s="47"/>
      <c r="D24" s="47"/>
      <c r="E24" s="47"/>
      <c r="F24" s="59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>
      <c r="A25" s="47"/>
      <c r="B25" s="47"/>
      <c r="C25" s="47"/>
      <c r="D25" s="47"/>
      <c r="E25" s="47"/>
      <c r="F25" s="59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>
      <c r="A26" s="47"/>
      <c r="B26" s="47"/>
      <c r="C26" s="47"/>
      <c r="D26" s="47"/>
      <c r="E26" s="47"/>
      <c r="F26" s="59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>
      <c r="A27" s="47"/>
      <c r="B27" s="47"/>
      <c r="C27" s="47"/>
      <c r="D27" s="47"/>
      <c r="E27" s="47"/>
      <c r="F27" s="59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>
      <c r="A28" s="47"/>
      <c r="B28" s="47"/>
      <c r="C28" s="47"/>
      <c r="D28" s="47"/>
      <c r="E28" s="47"/>
      <c r="F28" s="59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>
      <c r="A29" s="47"/>
      <c r="B29" s="47"/>
      <c r="C29" s="47"/>
      <c r="D29" s="47"/>
      <c r="E29" s="47"/>
      <c r="F29" s="59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>
      <c r="A30" s="47"/>
      <c r="B30" s="47"/>
      <c r="C30" s="47"/>
      <c r="D30" s="47"/>
      <c r="E30" s="47"/>
      <c r="F30" s="59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>
      <c r="A31" s="47"/>
      <c r="B31" s="47"/>
      <c r="C31" s="47"/>
      <c r="D31" s="47"/>
      <c r="E31" s="47"/>
      <c r="F31" s="59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>
      <c r="A32" s="47"/>
      <c r="B32" s="47"/>
      <c r="C32" s="47"/>
      <c r="D32" s="47"/>
      <c r="E32" s="47"/>
      <c r="F32" s="59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</row>
  </sheetData>
  <mergeCells count="1">
    <mergeCell ref="O2:T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4.5"/>
    <col customWidth="1" min="6" max="6" width="16.88"/>
  </cols>
  <sheetData>
    <row r="1">
      <c r="A1" s="62" t="s">
        <v>105</v>
      </c>
      <c r="B1" s="62" t="s">
        <v>106</v>
      </c>
      <c r="C1" s="62" t="s">
        <v>12</v>
      </c>
      <c r="D1" s="63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A2" s="64" t="s">
        <v>107</v>
      </c>
      <c r="B2" s="65">
        <v>70.0</v>
      </c>
      <c r="C2" s="66">
        <v>111.47500000000001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64" t="s">
        <v>108</v>
      </c>
      <c r="B3" s="65">
        <v>506.0</v>
      </c>
      <c r="C3" s="66">
        <v>805.8050000000001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>
      <c r="A4" s="64" t="s">
        <v>109</v>
      </c>
      <c r="B4" s="65">
        <v>201.0</v>
      </c>
      <c r="C4" s="66">
        <v>320.09250000000003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64" t="s">
        <v>110</v>
      </c>
      <c r="B5" s="65">
        <v>268.0</v>
      </c>
      <c r="C5" s="66">
        <v>426.79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64" t="s">
        <v>111</v>
      </c>
      <c r="B6" s="65">
        <v>394.0</v>
      </c>
      <c r="C6" s="66">
        <v>627.445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>
      <c r="A7" s="64" t="s">
        <v>112</v>
      </c>
      <c r="B7" s="65">
        <v>158.0</v>
      </c>
      <c r="C7" s="66">
        <v>251.615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>
      <c r="A8" s="64" t="s">
        <v>113</v>
      </c>
      <c r="B8" s="65">
        <v>186.0</v>
      </c>
      <c r="C8" s="66">
        <v>296.205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64" t="s">
        <v>114</v>
      </c>
      <c r="B9" s="65">
        <v>117.0</v>
      </c>
      <c r="C9" s="66">
        <v>186.3225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64" t="s">
        <v>115</v>
      </c>
      <c r="B10" s="65">
        <v>2284.0</v>
      </c>
      <c r="C10" s="65">
        <v>3000.0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A11" s="64" t="s">
        <v>116</v>
      </c>
      <c r="B11" s="65">
        <v>511.0</v>
      </c>
      <c r="C11" s="65">
        <v>1000.0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64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62" t="s">
        <v>117</v>
      </c>
      <c r="B13" s="67">
        <f t="shared" ref="B13:D13" si="1">SUM(B14:B21)</f>
        <v>22</v>
      </c>
      <c r="C13" s="68">
        <f t="shared" si="1"/>
        <v>2880</v>
      </c>
      <c r="D13" s="68">
        <f t="shared" si="1"/>
        <v>4586.4</v>
      </c>
      <c r="E13" s="39"/>
      <c r="F13" s="62" t="s">
        <v>118</v>
      </c>
      <c r="G13" s="67">
        <f t="shared" ref="G13:I13" si="2">SUM(G14:G21)</f>
        <v>26</v>
      </c>
      <c r="H13" s="68">
        <f t="shared" si="2"/>
        <v>1867</v>
      </c>
      <c r="I13" s="68">
        <f t="shared" si="2"/>
        <v>2973.1975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64" t="s">
        <v>107</v>
      </c>
      <c r="B14" s="64">
        <v>15.0</v>
      </c>
      <c r="C14" s="66">
        <f t="shared" ref="C14:C21" si="3">B14*B2</f>
        <v>1050</v>
      </c>
      <c r="D14" s="66">
        <f t="shared" ref="D14:D21" si="4">B14*C2</f>
        <v>1672.125</v>
      </c>
      <c r="E14" s="39"/>
      <c r="F14" s="64" t="s">
        <v>107</v>
      </c>
      <c r="G14" s="64">
        <v>25.0</v>
      </c>
      <c r="H14" s="66">
        <f t="shared" ref="H14:H21" si="5">G14*B2</f>
        <v>1750</v>
      </c>
      <c r="I14" s="66">
        <f t="shared" ref="I14:I21" si="6">G14*C2</f>
        <v>2786.875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64" t="s">
        <v>108</v>
      </c>
      <c r="B15" s="64">
        <v>1.0</v>
      </c>
      <c r="C15" s="66">
        <f t="shared" si="3"/>
        <v>506</v>
      </c>
      <c r="D15" s="66">
        <f t="shared" si="4"/>
        <v>805.805</v>
      </c>
      <c r="E15" s="39"/>
      <c r="F15" s="64" t="s">
        <v>108</v>
      </c>
      <c r="G15" s="64">
        <v>0.0</v>
      </c>
      <c r="H15" s="66">
        <f t="shared" si="5"/>
        <v>0</v>
      </c>
      <c r="I15" s="66">
        <f t="shared" si="6"/>
        <v>0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64" t="s">
        <v>109</v>
      </c>
      <c r="B16" s="64">
        <v>1.0</v>
      </c>
      <c r="C16" s="66">
        <f t="shared" si="3"/>
        <v>201</v>
      </c>
      <c r="D16" s="66">
        <f t="shared" si="4"/>
        <v>320.0925</v>
      </c>
      <c r="E16" s="39"/>
      <c r="F16" s="64" t="s">
        <v>109</v>
      </c>
      <c r="G16" s="64">
        <v>0.0</v>
      </c>
      <c r="H16" s="66">
        <f t="shared" si="5"/>
        <v>0</v>
      </c>
      <c r="I16" s="66">
        <f t="shared" si="6"/>
        <v>0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64" t="s">
        <v>110</v>
      </c>
      <c r="B17" s="64">
        <v>1.0</v>
      </c>
      <c r="C17" s="66">
        <f t="shared" si="3"/>
        <v>268</v>
      </c>
      <c r="D17" s="66">
        <f t="shared" si="4"/>
        <v>426.79</v>
      </c>
      <c r="E17" s="39"/>
      <c r="F17" s="64" t="s">
        <v>110</v>
      </c>
      <c r="G17" s="64">
        <v>0.0</v>
      </c>
      <c r="H17" s="66">
        <f t="shared" si="5"/>
        <v>0</v>
      </c>
      <c r="I17" s="66">
        <f t="shared" si="6"/>
        <v>0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64" t="s">
        <v>111</v>
      </c>
      <c r="B18" s="64">
        <v>1.0</v>
      </c>
      <c r="C18" s="66">
        <f t="shared" si="3"/>
        <v>394</v>
      </c>
      <c r="D18" s="66">
        <f t="shared" si="4"/>
        <v>627.445</v>
      </c>
      <c r="E18" s="39"/>
      <c r="F18" s="64" t="s">
        <v>111</v>
      </c>
      <c r="G18" s="64">
        <v>0.0</v>
      </c>
      <c r="H18" s="66">
        <f t="shared" si="5"/>
        <v>0</v>
      </c>
      <c r="I18" s="66">
        <f t="shared" si="6"/>
        <v>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64" t="s">
        <v>112</v>
      </c>
      <c r="B19" s="64">
        <v>1.0</v>
      </c>
      <c r="C19" s="66">
        <f t="shared" si="3"/>
        <v>158</v>
      </c>
      <c r="D19" s="66">
        <f t="shared" si="4"/>
        <v>251.615</v>
      </c>
      <c r="E19" s="39"/>
      <c r="F19" s="64" t="s">
        <v>112</v>
      </c>
      <c r="G19" s="64">
        <v>0.0</v>
      </c>
      <c r="H19" s="66">
        <f t="shared" si="5"/>
        <v>0</v>
      </c>
      <c r="I19" s="66">
        <f t="shared" si="6"/>
        <v>0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>
      <c r="A20" s="64" t="s">
        <v>113</v>
      </c>
      <c r="B20" s="64">
        <v>1.0</v>
      </c>
      <c r="C20" s="66">
        <f t="shared" si="3"/>
        <v>186</v>
      </c>
      <c r="D20" s="66">
        <f t="shared" si="4"/>
        <v>296.205</v>
      </c>
      <c r="E20" s="39"/>
      <c r="F20" s="64" t="s">
        <v>113</v>
      </c>
      <c r="G20" s="64">
        <v>0.0</v>
      </c>
      <c r="H20" s="66">
        <f t="shared" si="5"/>
        <v>0</v>
      </c>
      <c r="I20" s="66">
        <f t="shared" si="6"/>
        <v>0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>
      <c r="A21" s="64" t="s">
        <v>114</v>
      </c>
      <c r="B21" s="64">
        <v>1.0</v>
      </c>
      <c r="C21" s="66">
        <f t="shared" si="3"/>
        <v>117</v>
      </c>
      <c r="D21" s="66">
        <f t="shared" si="4"/>
        <v>186.3225</v>
      </c>
      <c r="E21" s="39"/>
      <c r="F21" s="64" t="s">
        <v>114</v>
      </c>
      <c r="G21" s="64">
        <v>1.0</v>
      </c>
      <c r="H21" s="66">
        <f t="shared" si="5"/>
        <v>117</v>
      </c>
      <c r="I21" s="66">
        <f t="shared" si="6"/>
        <v>186.3225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>
      <c r="A23" s="62" t="s">
        <v>119</v>
      </c>
      <c r="B23" s="62" t="s">
        <v>12</v>
      </c>
      <c r="C23" s="62" t="s">
        <v>120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>
      <c r="A24" s="64" t="s">
        <v>117</v>
      </c>
      <c r="B24" s="66">
        <v>8000.0</v>
      </c>
      <c r="C24" s="64">
        <v>1.0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64" t="s">
        <v>118</v>
      </c>
      <c r="B25" s="66">
        <v>4000.0</v>
      </c>
      <c r="C25" s="64">
        <v>5.0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64" t="s">
        <v>115</v>
      </c>
      <c r="B26" s="65">
        <v>5000.0</v>
      </c>
      <c r="C26" s="64">
        <v>1.0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64" t="s">
        <v>116</v>
      </c>
      <c r="B27" s="65">
        <v>3000.0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62" t="s">
        <v>121</v>
      </c>
      <c r="B1" s="64" t="s">
        <v>122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69" t="s">
        <v>39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69" t="s">
        <v>23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69" t="s">
        <v>18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69" t="s">
        <v>36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69" t="s">
        <v>123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69" t="s">
        <v>124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69" t="s">
        <v>25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69" t="s">
        <v>125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69" t="s">
        <v>126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69" t="s">
        <v>81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69" t="s">
        <v>127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69" t="s">
        <v>128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69" t="s">
        <v>129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69" t="s">
        <v>130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69" t="s">
        <v>131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69" t="s">
        <v>132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69" t="s">
        <v>133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70" t="s">
        <v>134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69" t="s">
        <v>135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69" t="s">
        <v>136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69" t="s">
        <v>34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69" t="s">
        <v>85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69" t="s">
        <v>137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69" t="s">
        <v>66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69" t="s">
        <v>52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69" t="s">
        <v>138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69" t="s">
        <v>54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64" t="s">
        <v>43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64" t="s">
        <v>41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64" t="s">
        <v>29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64" t="s">
        <v>56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139</v>
      </c>
      <c r="B1" s="61" t="s">
        <v>140</v>
      </c>
      <c r="C1" s="61" t="s">
        <v>141</v>
      </c>
      <c r="D1" s="61" t="s">
        <v>142</v>
      </c>
    </row>
    <row r="2">
      <c r="A2" s="61" t="s">
        <v>31</v>
      </c>
      <c r="B2" s="61" t="s">
        <v>21</v>
      </c>
      <c r="D2" s="61" t="s">
        <v>143</v>
      </c>
    </row>
    <row r="3">
      <c r="A3" s="61" t="s">
        <v>31</v>
      </c>
      <c r="B3" s="61" t="s">
        <v>32</v>
      </c>
      <c r="D3" s="61" t="s">
        <v>143</v>
      </c>
    </row>
    <row r="4">
      <c r="A4" s="61" t="s">
        <v>31</v>
      </c>
      <c r="B4" s="61" t="s">
        <v>144</v>
      </c>
      <c r="D4" s="61" t="s">
        <v>143</v>
      </c>
    </row>
    <row r="5">
      <c r="A5" s="61" t="s">
        <v>20</v>
      </c>
      <c r="B5" s="61" t="s">
        <v>38</v>
      </c>
      <c r="D5" s="61" t="s">
        <v>143</v>
      </c>
    </row>
    <row r="6">
      <c r="A6" s="61" t="s">
        <v>20</v>
      </c>
      <c r="B6" s="61" t="s">
        <v>21</v>
      </c>
      <c r="D6" s="61" t="s">
        <v>143</v>
      </c>
    </row>
    <row r="7">
      <c r="A7" s="61" t="s">
        <v>27</v>
      </c>
      <c r="B7" s="61" t="s">
        <v>28</v>
      </c>
      <c r="D7" s="61" t="s">
        <v>143</v>
      </c>
    </row>
    <row r="8">
      <c r="A8" s="61" t="s">
        <v>50</v>
      </c>
      <c r="B8" s="61" t="s">
        <v>51</v>
      </c>
      <c r="D8" s="61" t="s">
        <v>143</v>
      </c>
    </row>
  </sheetData>
  <drawing r:id="rId1"/>
</worksheet>
</file>