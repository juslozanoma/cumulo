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da edicion 2023" sheetId="1" r:id="rId4"/>
    <sheet state="visible" name="2da edición 2025" sheetId="2" r:id="rId5"/>
    <sheet state="visible" name="Cotizaciones Ricaurte" sheetId="3" r:id="rId6"/>
    <sheet state="visible" name="GORRA" sheetId="4" r:id="rId7"/>
    <sheet state="visible" name="BUSOS" sheetId="5" r:id="rId8"/>
    <sheet state="visible" name="Coleccion 2026-1" sheetId="6" r:id="rId9"/>
  </sheets>
  <definedNames/>
  <calcPr/>
  <extLst>
    <ext uri="GoogleSheetsCustomDataVersion2">
      <go:sheetsCustomData xmlns:go="http://customooxmlschemas.google.com/" r:id="rId10" roundtripDataChecksum="oWlahLG2iP+T8ojxo8s5m6FJeE2Iyn/6SgLouu5dXy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ID#AAABOsv9WzI
    (2024-07-22 18:37:01)
Un viaje por el universo - Sebastián Lozano
	-Juan Sebastian Lozano Martinez
----
dar una charla en una reunión de Cúmulo
	-Juan Sebastian Lozano Martinez
----
Charlas multiples de Cúmulo
	-Juan Sebastian Lozano Martinez
----
Telescopios
	-Juan Sebastian Lozano Martinez
----
Paradoja de Fermi
	-Juan Sebastian Lozano Martinez
----
Eclipses: cultura - Juan Ángel Duque
	-Juan Sebastian Lozano Martinez
----
El Sol - Santiago Vargas
	-Juan Sebastian Lozano Martinez
----
La Luna - Andrés Torres
	-Juan Sebastian Lozano Martinez
----
Eclipses: conceptos -  Yul
	-Juan Sebastian Lozano Martinez
----
Observación del cielo nocturno - Profesor Giovanni Pinzón
	-Juan Sebastian Lozano Martinez
----
Sistema solar exterior - Cristina Quiazúa
	-Juan Sebastian Lozano Martinez
----
Sistema solar interior - Eva Méndez
	-Juan Sebastian Lozano Martinez
----
Haber asistido o visto los videos de todas las reuniones que se han realizado.
	-Juan Sebastian Lozano Martinez
----
Haber asistido a alguna práctica de uso de telescopios.
	-Juan Sebastian Lozano Martinez
----
Haber asistido a la sesión de preparación para manejo del domo
	-Juan Sebastian Lozano Martinez
----
Haber realizado el recorrido al Observatorio Astronómico, sede histórica. Junto a la casa de Nariño.
	-Juan Sebastian Lozano Martinez
----
Haber realizado la visita al Observatorio Astronómico de la Universidad
	-Juan Sebastian Lozano Martinez
----
Ser parte del equipo de comunicaciones @cumuloun
	-Juan Sebastian Lozano Martinez
----
Conferencias de "jueves bajo las estrellas"
	-Juan Sebastian Lozano Martinez</t>
      </text>
    </comment>
  </commentList>
  <extLst>
    <ext uri="GoogleSheetsCustomDataVersion2">
      <go:sheetsCustomData xmlns:go="http://customooxmlschemas.google.com/" r:id="rId1" roundtripDataSignature="AMtx7mi+rVU8lN314TLWtJLJdQAd9ALI2Q=="/>
    </ext>
  </extLst>
</comments>
</file>

<file path=xl/sharedStrings.xml><?xml version="1.0" encoding="utf-8"?>
<sst xmlns="http://schemas.openxmlformats.org/spreadsheetml/2006/main" count="866" uniqueCount="242">
  <si>
    <t>#</t>
  </si>
  <si>
    <t>nombre</t>
  </si>
  <si>
    <t>fecha</t>
  </si>
  <si>
    <t>talla</t>
  </si>
  <si>
    <t>GRUPO 1</t>
  </si>
  <si>
    <t>precio</t>
  </si>
  <si>
    <t>ENTREGADA</t>
  </si>
  <si>
    <t>sede</t>
  </si>
  <si>
    <t>Felipe Gómez</t>
  </si>
  <si>
    <t>M</t>
  </si>
  <si>
    <t>hombre</t>
  </si>
  <si>
    <t>Bogotá</t>
  </si>
  <si>
    <t>Laura Jiménez</t>
  </si>
  <si>
    <t>S</t>
  </si>
  <si>
    <t>mujer</t>
  </si>
  <si>
    <t>Santiago Vargas</t>
  </si>
  <si>
    <t>Sebastián Lozano</t>
  </si>
  <si>
    <t>Laura Martínez</t>
  </si>
  <si>
    <t>Juliana Márquez</t>
  </si>
  <si>
    <t>Samuel Noreña</t>
  </si>
  <si>
    <t>L</t>
  </si>
  <si>
    <t>Angelina Zuluaga</t>
  </si>
  <si>
    <t>Angélica Agudelo</t>
  </si>
  <si>
    <t>Luis Miguel Barbosa</t>
  </si>
  <si>
    <t>Juan David López</t>
  </si>
  <si>
    <t>Santiago Sabogal</t>
  </si>
  <si>
    <t>Andrés Torres</t>
  </si>
  <si>
    <t>Juan Pablo Garavito</t>
  </si>
  <si>
    <t>Cristian Gómez</t>
  </si>
  <si>
    <t>Diego Bernal</t>
  </si>
  <si>
    <t>José Hernández</t>
  </si>
  <si>
    <t>Juan Angel Duque</t>
  </si>
  <si>
    <t>María Castellanos</t>
  </si>
  <si>
    <t>Juan David Vargas</t>
  </si>
  <si>
    <t>Juliana Zúñiga</t>
  </si>
  <si>
    <t>XL</t>
  </si>
  <si>
    <t>Danna Bocanegra</t>
  </si>
  <si>
    <t>Laura Steffania Corredor</t>
  </si>
  <si>
    <t>David Perez Estrada</t>
  </si>
  <si>
    <t>Johann David Sánchez</t>
  </si>
  <si>
    <t>Nestor Medellín</t>
  </si>
  <si>
    <t>Medellín</t>
  </si>
  <si>
    <t>Laura Manizales</t>
  </si>
  <si>
    <t>Manizales</t>
  </si>
  <si>
    <t>Sara Medellín</t>
  </si>
  <si>
    <t>Mayuri Palmira</t>
  </si>
  <si>
    <t>Palmira</t>
  </si>
  <si>
    <t>Daimer Palmira</t>
  </si>
  <si>
    <t>Viviana Palmira</t>
  </si>
  <si>
    <t>Mateo Palmira</t>
  </si>
  <si>
    <t>Sebastian Palmira</t>
  </si>
  <si>
    <t>Andrea Palmira</t>
  </si>
  <si>
    <t>Johanna Palmira</t>
  </si>
  <si>
    <t>Camila Palmira</t>
  </si>
  <si>
    <t>Jorge Palmira</t>
  </si>
  <si>
    <t>Carol Palmira</t>
  </si>
  <si>
    <t>Alexandra Palmira</t>
  </si>
  <si>
    <t>GRUPO 2</t>
  </si>
  <si>
    <t>Edward Velasco</t>
  </si>
  <si>
    <t>Valentina Zamudio</t>
  </si>
  <si>
    <t>Jonhathan Bernal</t>
  </si>
  <si>
    <t>Ever Alcalá</t>
  </si>
  <si>
    <t>Daniel Tinoco</t>
  </si>
  <si>
    <t>Fabián Hernández</t>
  </si>
  <si>
    <t>Carlos Andrés Perez</t>
  </si>
  <si>
    <t>Daniel Poveda Ruiz</t>
  </si>
  <si>
    <t>Manuel Andrés Herrera</t>
  </si>
  <si>
    <t>Angélica Millán</t>
  </si>
  <si>
    <t>Wilson Camilo Sarmiento</t>
  </si>
  <si>
    <t>Felipe Muñoz Henao</t>
  </si>
  <si>
    <t>Sara Valentina Cruz</t>
  </si>
  <si>
    <t>Pedro Urrutia</t>
  </si>
  <si>
    <t>Valería Chía</t>
  </si>
  <si>
    <t>Sara Valentina Chaparro</t>
  </si>
  <si>
    <t>Islena Bonilla</t>
  </si>
  <si>
    <t>Eva Mendez</t>
  </si>
  <si>
    <t>Brandon Romero</t>
  </si>
  <si>
    <t>Joseph Alejandro Niño</t>
  </si>
  <si>
    <t>Julián David Acosta</t>
  </si>
  <si>
    <t>Alejandro Cipagauta</t>
  </si>
  <si>
    <t>Yeimy Paola Telles</t>
  </si>
  <si>
    <t>Laura Tatiana Villa</t>
  </si>
  <si>
    <t>Samuel Hernández Barriga</t>
  </si>
  <si>
    <t>Santiago Andrés Calán</t>
  </si>
  <si>
    <t>TOTAL G2</t>
  </si>
  <si>
    <t>GRUPO 3</t>
  </si>
  <si>
    <t>costo</t>
  </si>
  <si>
    <t>DTF</t>
  </si>
  <si>
    <t>Cúmulo</t>
  </si>
  <si>
    <t>Arned</t>
  </si>
  <si>
    <t>Leonardo</t>
  </si>
  <si>
    <t>Ana María Maldonado</t>
  </si>
  <si>
    <t>CAMISETAS</t>
  </si>
  <si>
    <t>GORRAS</t>
  </si>
  <si>
    <t>NOMBRE</t>
  </si>
  <si>
    <t>TELÉFONO</t>
  </si>
  <si>
    <t>ESTILO</t>
  </si>
  <si>
    <t>TALLA</t>
  </si>
  <si>
    <t>COLOR</t>
  </si>
  <si>
    <t>CANTIDAD</t>
  </si>
  <si>
    <t>PRECIO</t>
  </si>
  <si>
    <t>Karol Juanita Forero</t>
  </si>
  <si>
    <t>Mujer</t>
  </si>
  <si>
    <t>Blanca</t>
  </si>
  <si>
    <t>Si</t>
  </si>
  <si>
    <t>Jorge Alejandro Torres</t>
  </si>
  <si>
    <t>Hombre</t>
  </si>
  <si>
    <t>Negra</t>
  </si>
  <si>
    <t>Jeisson Sneyder Torres</t>
  </si>
  <si>
    <t>Sí</t>
  </si>
  <si>
    <t>Felipe Muñoz</t>
  </si>
  <si>
    <t>Juan Diego Rodríguez</t>
  </si>
  <si>
    <t>Sofía Núñez</t>
  </si>
  <si>
    <t>Vanessa Sofía Hernández</t>
  </si>
  <si>
    <t>Kevin Julián Ramos</t>
  </si>
  <si>
    <t>Yeimy Telles</t>
  </si>
  <si>
    <t>María Obando Carmona</t>
  </si>
  <si>
    <t>Felipe Garnica</t>
  </si>
  <si>
    <t>BUSOS</t>
  </si>
  <si>
    <t>LOGO</t>
  </si>
  <si>
    <t>Gratis</t>
  </si>
  <si>
    <t>Normal</t>
  </si>
  <si>
    <t>Recortar mangas</t>
  </si>
  <si>
    <t>Centro del pecho</t>
  </si>
  <si>
    <t>Sara Cortés</t>
  </si>
  <si>
    <t>Profe Santi</t>
  </si>
  <si>
    <t>Felipe Rodríguez</t>
  </si>
  <si>
    <t>Maira Arias</t>
  </si>
  <si>
    <t>Nicolle Arévalo</t>
  </si>
  <si>
    <t>Hernán Munar</t>
  </si>
  <si>
    <t>*Cotizaciones realizadas el 28 julio de 2025</t>
  </si>
  <si>
    <t>Buso capota algodon perchado</t>
  </si>
  <si>
    <t>Cant por mayor   6</t>
  </si>
  <si>
    <t>Por unidad</t>
  </si>
  <si>
    <t>Tienda</t>
  </si>
  <si>
    <t>Precio sin estampado</t>
  </si>
  <si>
    <t>Precio con estampado</t>
  </si>
  <si>
    <t>Direccion</t>
  </si>
  <si>
    <t>Telefono</t>
  </si>
  <si>
    <t>Surtimundo (deoende cant=</t>
  </si>
  <si>
    <t>no venden</t>
  </si>
  <si>
    <t>Calle 9 #27-52</t>
  </si>
  <si>
    <t>Colors (olimpica)</t>
  </si>
  <si>
    <t>Cll 10 #27-60</t>
  </si>
  <si>
    <t>Son los que se compraron en la primera coleccion Cumulo</t>
  </si>
  <si>
    <t>Camisetas P&amp;P</t>
  </si>
  <si>
    <t>Cll 10 #27-06</t>
  </si>
  <si>
    <t>Algodon de xs a xxL</t>
  </si>
  <si>
    <t>Camisetas P&amp;P DTF</t>
  </si>
  <si>
    <t>Cra 27 # 10 -17</t>
  </si>
  <si>
    <t>Gorra estampada</t>
  </si>
  <si>
    <t>Precio unitario</t>
  </si>
  <si>
    <t>Precio por mayor</t>
  </si>
  <si>
    <t>Cant por mayor</t>
  </si>
  <si>
    <t>LP latinos publicidad</t>
  </si>
  <si>
    <t>Cra 28 #10-24</t>
  </si>
  <si>
    <t>Camiseta piel durazno</t>
  </si>
  <si>
    <t>MGR multigrafica</t>
  </si>
  <si>
    <t>Cll 10 #28-12 Local 1</t>
  </si>
  <si>
    <t>manga larga</t>
  </si>
  <si>
    <t>Surtimundo</t>
  </si>
  <si>
    <t>manga corta</t>
  </si>
  <si>
    <t>Carnets pvc</t>
  </si>
  <si>
    <t>Colors</t>
  </si>
  <si>
    <t>Cll 10 #27-44</t>
  </si>
  <si>
    <t>En CC piso 1</t>
  </si>
  <si>
    <t>Cra 28 #10-50</t>
  </si>
  <si>
    <t>GORRAS CÚMULO</t>
  </si>
  <si>
    <t>TOTAL</t>
  </si>
  <si>
    <t>medio de pago</t>
  </si>
  <si>
    <t>color</t>
  </si>
  <si>
    <t>pedida</t>
  </si>
  <si>
    <t>entregada</t>
  </si>
  <si>
    <t>BALANCE DE GORRAS</t>
  </si>
  <si>
    <t>nequi</t>
  </si>
  <si>
    <t>negro</t>
  </si>
  <si>
    <t>NEGRO</t>
  </si>
  <si>
    <t>AZUL</t>
  </si>
  <si>
    <t>daviplata</t>
  </si>
  <si>
    <t>azul</t>
  </si>
  <si>
    <t>viáticos</t>
  </si>
  <si>
    <t>Julián Acosta</t>
  </si>
  <si>
    <t>Carol Sofia Castellanos</t>
  </si>
  <si>
    <t>María Angélica Agudelo</t>
  </si>
  <si>
    <t xml:space="preserve">Bogotá </t>
  </si>
  <si>
    <t>Lucas Giraldo</t>
  </si>
  <si>
    <t>Darío Muñoz</t>
  </si>
  <si>
    <t>Sara Castellanos</t>
  </si>
  <si>
    <t>Jonhatan Bernal</t>
  </si>
  <si>
    <t>efectivo</t>
  </si>
  <si>
    <t>Joseph Niño</t>
  </si>
  <si>
    <t>Angel David Cardenas</t>
  </si>
  <si>
    <t>Jimena</t>
  </si>
  <si>
    <t>dinero</t>
  </si>
  <si>
    <t>precio buso</t>
  </si>
  <si>
    <t>costo buso</t>
  </si>
  <si>
    <t>costos DTF</t>
  </si>
  <si>
    <t>comprado</t>
  </si>
  <si>
    <t>entregado</t>
  </si>
  <si>
    <t>PENDIENTES</t>
  </si>
  <si>
    <t>Valeria Chía</t>
  </si>
  <si>
    <t>XS</t>
  </si>
  <si>
    <t>nequi - viáticos</t>
  </si>
  <si>
    <t>Samuel Felipe Unriza</t>
  </si>
  <si>
    <t>Jose Daniel Hernández</t>
  </si>
  <si>
    <t>Edward Alexander Velasco</t>
  </si>
  <si>
    <t>pendiente</t>
  </si>
  <si>
    <t>María Angélica</t>
  </si>
  <si>
    <t>Valerie Nicole</t>
  </si>
  <si>
    <t>Gringo</t>
  </si>
  <si>
    <t>NASA</t>
  </si>
  <si>
    <t>CAMISA MANGA LARGA</t>
  </si>
  <si>
    <t>ABONO $</t>
  </si>
  <si>
    <t>ABONO$</t>
  </si>
  <si>
    <t>Julian David Acosta Calderon</t>
  </si>
  <si>
    <t>314 2487304</t>
  </si>
  <si>
    <t>300 5785433</t>
  </si>
  <si>
    <t>Karol Juanita Forero Rozo</t>
  </si>
  <si>
    <t>310 8070930</t>
  </si>
  <si>
    <t>321 4581266</t>
  </si>
  <si>
    <t>Juan Sebastián Lozano Martínez</t>
  </si>
  <si>
    <t>317 5557122</t>
  </si>
  <si>
    <t xml:space="preserve">Luis Miguel </t>
  </si>
  <si>
    <t>321 4741608</t>
  </si>
  <si>
    <t>Sofia Nuñes Montenegro</t>
  </si>
  <si>
    <t xml:space="preserve"> 301 8229649</t>
  </si>
  <si>
    <t xml:space="preserve">Luis Migel </t>
  </si>
  <si>
    <t>Johann</t>
  </si>
  <si>
    <t xml:space="preserve"> 323 7855191</t>
  </si>
  <si>
    <t>301 8229649</t>
  </si>
  <si>
    <t>Valeria Chia</t>
  </si>
  <si>
    <t>300  3832751</t>
  </si>
  <si>
    <t>Sara Catalina Cortés Neira</t>
  </si>
  <si>
    <t>302 6896639</t>
  </si>
  <si>
    <t>Total</t>
  </si>
  <si>
    <t xml:space="preserve">Total </t>
  </si>
  <si>
    <t>BUSO CREMALLERA</t>
  </si>
  <si>
    <t>RESUMEN DEL PEDIDO</t>
  </si>
  <si>
    <t>LOGO ADICIONAL</t>
  </si>
  <si>
    <t>ITEM</t>
  </si>
  <si>
    <t>No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</si>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</sst>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,##0.000"/>
  </numFmts>
  <fonts count="11">
    <font>
      <sz val="10.0"/>
      <color rgb="FF000000"/>
      <name val="Arial"/>
      <scheme val="minor"/>
    </font>
    <font>
      <b/>
      <sz val="11.0"/>
      <color theme="1"/>
      <name val="Questrial"/>
    </font>
    <font>
      <sz val="11.0"/>
      <color theme="1"/>
      <name val="Questrial"/>
    </font>
    <font>
      <color theme="1"/>
      <name val="Questrial"/>
    </font>
    <font>
      <color theme="1"/>
      <name val="Arial"/>
    </font>
    <font>
      <b/>
      <color theme="1"/>
      <name val="Questrial"/>
    </font>
    <font>
      <b/>
      <color theme="1"/>
      <name val="Arial"/>
    </font>
    <font/>
    <font>
      <color theme="1"/>
      <name val="Arial"/>
      <scheme val="minor"/>
    </font>
    <font>
      <b/>
      <color theme="1"/>
      <name val="Nunito"/>
    </font>
    <font>
      <color theme="1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43">
    <border/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vertical="bottom"/>
    </xf>
    <xf borderId="4" fillId="0" fontId="7" numFmtId="0" xfId="0" applyBorder="1" applyFont="1"/>
    <xf borderId="5" fillId="0" fontId="7" numFmtId="0" xfId="0" applyBorder="1" applyFont="1"/>
    <xf borderId="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7" fillId="0" fontId="4" numFmtId="3" xfId="0" applyAlignment="1" applyBorder="1" applyFont="1" applyNumberFormat="1">
      <alignment horizontal="center" vertical="bottom"/>
    </xf>
    <xf borderId="8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3" xfId="0" applyAlignment="1" applyBorder="1" applyFont="1" applyNumberFormat="1">
      <alignment vertical="bottom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10" fillId="0" fontId="4" numFmtId="3" xfId="0" applyAlignment="1" applyBorder="1" applyFont="1" applyNumberFormat="1">
      <alignment vertical="bottom"/>
    </xf>
    <xf borderId="11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0" fillId="0" fontId="4" numFmtId="3" xfId="0" applyAlignment="1" applyBorder="1" applyFont="1" applyNumberFormat="1">
      <alignment horizontal="center" vertical="bottom"/>
    </xf>
    <xf borderId="11" fillId="0" fontId="4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readingOrder="0" vertical="bottom"/>
    </xf>
    <xf borderId="4" fillId="0" fontId="7" numFmtId="0" xfId="0" applyBorder="1" applyFont="1"/>
    <xf borderId="5" fillId="0" fontId="7" numFmtId="0" xfId="0" applyBorder="1" applyFont="1"/>
    <xf borderId="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vertical="bottom"/>
    </xf>
    <xf borderId="7" fillId="0" fontId="4" numFmtId="3" xfId="0" applyAlignment="1" applyBorder="1" applyFont="1" applyNumberFormat="1">
      <alignment horizontal="center" readingOrder="0" vertical="bottom"/>
    </xf>
    <xf borderId="7" fillId="3" fontId="4" numFmtId="3" xfId="0" applyAlignment="1" applyBorder="1" applyFill="1" applyFont="1" applyNumberForma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6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vertical="bottom"/>
    </xf>
    <xf borderId="10" fillId="0" fontId="4" numFmtId="3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12" fillId="0" fontId="4" numFmtId="0" xfId="0" applyAlignment="1" applyBorder="1" applyFont="1">
      <alignment horizontal="center" readingOrder="0"/>
    </xf>
    <xf borderId="13" fillId="0" fontId="7" numFmtId="0" xfId="0" applyBorder="1" applyFont="1"/>
    <xf borderId="14" fillId="0" fontId="7" numFmtId="0" xfId="0" applyBorder="1" applyFont="1"/>
    <xf borderId="7" fillId="0" fontId="4" numFmtId="0" xfId="0" applyBorder="1" applyFont="1"/>
    <xf borderId="7" fillId="0" fontId="8" numFmtId="0" xfId="0" applyBorder="1" applyFont="1"/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 vertical="center"/>
    </xf>
    <xf borderId="7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horizontal="center"/>
    </xf>
    <xf borderId="0" fillId="4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/>
    </xf>
    <xf borderId="0" fillId="5" fontId="10" numFmtId="0" xfId="0" applyAlignment="1" applyFill="1" applyFont="1">
      <alignment horizontal="center"/>
    </xf>
    <xf borderId="0" fillId="0" fontId="10" numFmtId="164" xfId="0" applyAlignment="1" applyFont="1" applyNumberFormat="1">
      <alignment horizontal="center"/>
    </xf>
    <xf borderId="0" fillId="2" fontId="9" numFmtId="0" xfId="0" applyAlignment="1" applyFont="1">
      <alignment horizontal="center"/>
    </xf>
    <xf borderId="0" fillId="6" fontId="9" numFmtId="0" xfId="0" applyAlignment="1" applyFill="1" applyFont="1">
      <alignment horizontal="center"/>
    </xf>
    <xf borderId="0" fillId="4" fontId="9" numFmtId="0" xfId="0" applyAlignment="1" applyFont="1">
      <alignment horizontal="center"/>
    </xf>
    <xf borderId="0" fillId="7" fontId="10" numFmtId="164" xfId="0" applyAlignment="1" applyFill="1" applyFont="1" applyNumberFormat="1">
      <alignment horizontal="center"/>
    </xf>
    <xf borderId="3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7" fillId="0" fontId="6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4" numFmtId="4" xfId="0" applyAlignment="1" applyBorder="1" applyFont="1" applyNumberFormat="1">
      <alignment horizontal="center" readingOrder="0" vertical="bottom"/>
    </xf>
    <xf borderId="7" fillId="0" fontId="4" numFmtId="0" xfId="0" applyAlignment="1" applyBorder="1" applyFont="1">
      <alignment readingOrder="0" vertical="bottom"/>
    </xf>
    <xf borderId="7" fillId="0" fontId="4" numFmtId="4" xfId="0" applyAlignment="1" applyBorder="1" applyFont="1" applyNumberFormat="1">
      <alignment horizontal="center" vertical="bottom"/>
    </xf>
    <xf borderId="9" fillId="0" fontId="6" numFmtId="0" xfId="0" applyAlignment="1" applyBorder="1" applyFont="1">
      <alignment readingOrder="0" vertical="bottom"/>
    </xf>
    <xf borderId="15" fillId="0" fontId="4" numFmtId="165" xfId="0" applyAlignment="1" applyBorder="1" applyFont="1" applyNumberFormat="1">
      <alignment vertical="bottom"/>
    </xf>
    <xf borderId="16" fillId="0" fontId="7" numFmtId="0" xfId="0" applyBorder="1" applyFont="1"/>
    <xf borderId="17" fillId="0" fontId="7" numFmtId="0" xfId="0" applyBorder="1" applyFont="1"/>
    <xf borderId="9" fillId="0" fontId="6" numFmtId="0" xfId="0" applyAlignment="1" applyBorder="1" applyFont="1">
      <alignment horizontal="center" readingOrder="0" vertical="bottom"/>
    </xf>
    <xf borderId="15" fillId="0" fontId="4" numFmtId="4" xfId="0" applyAlignment="1" applyBorder="1" applyFont="1" applyNumberFormat="1">
      <alignment horizontal="center" vertical="bottom"/>
    </xf>
    <xf borderId="3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readingOrder="0" vertical="bottom"/>
    </xf>
    <xf borderId="19" fillId="0" fontId="6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vertical="center"/>
    </xf>
    <xf borderId="22" fillId="0" fontId="7" numFmtId="0" xfId="0" applyBorder="1" applyFont="1"/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readingOrder="0" vertical="center"/>
    </xf>
    <xf borderId="25" fillId="0" fontId="7" numFmtId="0" xfId="0" applyBorder="1" applyFont="1"/>
    <xf borderId="6" fillId="0" fontId="4" numFmtId="0" xfId="0" applyAlignment="1" applyBorder="1" applyFont="1">
      <alignment horizontal="center" readingOrder="0" vertical="bottom"/>
    </xf>
    <xf borderId="7" fillId="8" fontId="4" numFmtId="3" xfId="0" applyAlignment="1" applyBorder="1" applyFill="1" applyFont="1" applyNumberForma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26" fillId="0" fontId="8" numFmtId="0" xfId="0" applyAlignment="1" applyBorder="1" applyFont="1">
      <alignment horizontal="center" vertical="center"/>
    </xf>
    <xf borderId="27" fillId="0" fontId="7" numFmtId="0" xfId="0" applyBorder="1" applyFont="1"/>
    <xf borderId="28" fillId="0" fontId="4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 readingOrder="0" vertical="center"/>
    </xf>
    <xf borderId="30" fillId="0" fontId="7" numFmtId="0" xfId="0" applyBorder="1" applyFont="1"/>
    <xf borderId="31" fillId="0" fontId="7" numFmtId="0" xfId="0" applyBorder="1" applyFont="1"/>
    <xf borderId="7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32" fillId="0" fontId="7" numFmtId="0" xfId="0" applyBorder="1" applyFont="1"/>
    <xf borderId="7" fillId="8" fontId="4" numFmtId="0" xfId="0" applyAlignment="1" applyBorder="1" applyFont="1">
      <alignment horizontal="center" readingOrder="0" vertical="bottom"/>
    </xf>
    <xf borderId="33" fillId="0" fontId="7" numFmtId="0" xfId="0" applyBorder="1" applyFont="1"/>
    <xf borderId="34" fillId="0" fontId="7" numFmtId="0" xfId="0" applyBorder="1" applyFont="1"/>
    <xf borderId="10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35" fillId="0" fontId="4" numFmtId="0" xfId="0" applyAlignment="1" applyBorder="1" applyFont="1">
      <alignment horizontal="center" vertical="center"/>
    </xf>
    <xf borderId="36" fillId="0" fontId="7" numFmtId="0" xfId="0" applyBorder="1" applyFont="1"/>
    <xf borderId="37" fillId="0" fontId="4" numFmtId="0" xfId="0" applyAlignment="1" applyBorder="1" applyFont="1">
      <alignment horizontal="center" readingOrder="0" vertical="center"/>
    </xf>
    <xf borderId="38" fillId="0" fontId="4" numFmtId="0" xfId="0" applyAlignment="1" applyBorder="1" applyFont="1">
      <alignment horizontal="center" readingOrder="0" vertical="center"/>
    </xf>
    <xf borderId="39" fillId="0" fontId="7" numFmtId="0" xfId="0" applyBorder="1" applyFont="1"/>
    <xf borderId="6" fillId="0" fontId="4" numFmtId="0" xfId="0" applyAlignment="1" applyBorder="1" applyFont="1">
      <alignment horizontal="center" vertical="bottom"/>
    </xf>
    <xf borderId="33" fillId="0" fontId="4" numFmtId="0" xfId="0" applyAlignment="1" applyBorder="1" applyFont="1">
      <alignment horizontal="center" vertical="center"/>
    </xf>
    <xf borderId="40" fillId="0" fontId="4" numFmtId="0" xfId="0" applyAlignment="1" applyBorder="1" applyFont="1">
      <alignment horizontal="center" readingOrder="0" vertical="center"/>
    </xf>
    <xf borderId="41" fillId="0" fontId="4" numFmtId="0" xfId="0" applyAlignment="1" applyBorder="1" applyFont="1">
      <alignment horizontal="center" readingOrder="0" vertical="center"/>
    </xf>
    <xf borderId="42" fillId="0" fontId="7" numFmtId="0" xfId="0" applyBorder="1" applyFont="1"/>
    <xf borderId="9" fillId="0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vertical="bottom"/>
    </xf>
    <xf borderId="10" fillId="0" fontId="4" numFmtId="3" xfId="0" applyAlignment="1" applyBorder="1" applyFont="1" applyNumberFormat="1">
      <alignment horizontal="center" readingOrder="0" vertical="bottom"/>
    </xf>
    <xf borderId="11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25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4">
        <v>1.0</v>
      </c>
      <c r="B2" s="5" t="s">
        <v>8</v>
      </c>
      <c r="C2" s="4"/>
      <c r="D2" s="4" t="s">
        <v>9</v>
      </c>
      <c r="E2" s="4" t="s">
        <v>10</v>
      </c>
      <c r="F2" s="4">
        <v>15.0</v>
      </c>
      <c r="G2" s="6" t="b">
        <v>1</v>
      </c>
      <c r="H2" s="4" t="s">
        <v>11</v>
      </c>
    </row>
    <row r="3" ht="15.75" customHeight="1">
      <c r="A3" s="4">
        <v>2.0</v>
      </c>
      <c r="B3" s="5" t="s">
        <v>12</v>
      </c>
      <c r="C3" s="4"/>
      <c r="D3" s="4" t="s">
        <v>13</v>
      </c>
      <c r="E3" s="4" t="s">
        <v>14</v>
      </c>
      <c r="F3" s="4">
        <v>15.0</v>
      </c>
      <c r="G3" s="6" t="b">
        <v>1</v>
      </c>
      <c r="H3" s="4" t="s">
        <v>11</v>
      </c>
    </row>
    <row r="4" ht="15.75" customHeight="1">
      <c r="A4" s="4">
        <v>3.0</v>
      </c>
      <c r="B4" s="5" t="s">
        <v>15</v>
      </c>
      <c r="C4" s="4"/>
      <c r="D4" s="4" t="s">
        <v>9</v>
      </c>
      <c r="E4" s="4" t="s">
        <v>10</v>
      </c>
      <c r="F4" s="4">
        <v>200.0</v>
      </c>
      <c r="G4" s="6" t="b">
        <v>1</v>
      </c>
      <c r="H4" s="4" t="s">
        <v>11</v>
      </c>
    </row>
    <row r="5" ht="15.75" customHeight="1">
      <c r="A5" s="4">
        <v>4.0</v>
      </c>
      <c r="B5" s="5" t="s">
        <v>16</v>
      </c>
      <c r="C5" s="4"/>
      <c r="D5" s="4" t="s">
        <v>13</v>
      </c>
      <c r="E5" s="4" t="s">
        <v>10</v>
      </c>
      <c r="F5" s="4">
        <v>15.0</v>
      </c>
      <c r="G5" s="6" t="b">
        <v>1</v>
      </c>
      <c r="H5" s="4" t="s">
        <v>11</v>
      </c>
    </row>
    <row r="6" ht="15.75" customHeight="1">
      <c r="A6" s="4">
        <v>5.0</v>
      </c>
      <c r="B6" s="5" t="s">
        <v>17</v>
      </c>
      <c r="C6" s="4"/>
      <c r="D6" s="4" t="s">
        <v>13</v>
      </c>
      <c r="E6" s="4" t="s">
        <v>14</v>
      </c>
      <c r="F6" s="4">
        <v>15.0</v>
      </c>
      <c r="G6" s="6" t="b">
        <v>1</v>
      </c>
      <c r="H6" s="4" t="s">
        <v>11</v>
      </c>
    </row>
    <row r="7" ht="15.75" customHeight="1">
      <c r="A7" s="4">
        <v>6.0</v>
      </c>
      <c r="B7" s="5" t="s">
        <v>18</v>
      </c>
      <c r="C7" s="4"/>
      <c r="D7" s="4" t="s">
        <v>13</v>
      </c>
      <c r="E7" s="4" t="s">
        <v>14</v>
      </c>
      <c r="F7" s="4">
        <v>15.0</v>
      </c>
      <c r="G7" s="6" t="b">
        <v>1</v>
      </c>
      <c r="H7" s="4" t="s">
        <v>11</v>
      </c>
    </row>
    <row r="8" ht="15.75" customHeight="1">
      <c r="A8" s="4">
        <v>7.0</v>
      </c>
      <c r="B8" s="5" t="s">
        <v>19</v>
      </c>
      <c r="C8" s="4"/>
      <c r="D8" s="4" t="s">
        <v>20</v>
      </c>
      <c r="E8" s="4" t="s">
        <v>10</v>
      </c>
      <c r="F8" s="4">
        <v>15.0</v>
      </c>
      <c r="G8" s="6" t="b">
        <v>1</v>
      </c>
      <c r="H8" s="4" t="s">
        <v>11</v>
      </c>
    </row>
    <row r="9" ht="15.75" customHeight="1">
      <c r="A9" s="4">
        <v>8.0</v>
      </c>
      <c r="B9" s="5" t="s">
        <v>21</v>
      </c>
      <c r="C9" s="4"/>
      <c r="D9" s="4" t="s">
        <v>13</v>
      </c>
      <c r="E9" s="4" t="s">
        <v>14</v>
      </c>
      <c r="F9" s="4">
        <v>15.0</v>
      </c>
      <c r="G9" s="6" t="b">
        <v>1</v>
      </c>
      <c r="H9" s="4" t="s">
        <v>11</v>
      </c>
    </row>
    <row r="10" ht="15.75" customHeight="1">
      <c r="A10" s="4">
        <v>9.0</v>
      </c>
      <c r="B10" s="5" t="s">
        <v>22</v>
      </c>
      <c r="C10" s="4"/>
      <c r="D10" s="4" t="s">
        <v>9</v>
      </c>
      <c r="E10" s="4" t="s">
        <v>14</v>
      </c>
      <c r="F10" s="4">
        <v>15.0</v>
      </c>
      <c r="G10" s="6" t="b">
        <v>1</v>
      </c>
      <c r="H10" s="4" t="s">
        <v>11</v>
      </c>
    </row>
    <row r="11" ht="15.75" customHeight="1">
      <c r="A11" s="4">
        <v>10.0</v>
      </c>
      <c r="B11" s="5" t="s">
        <v>23</v>
      </c>
      <c r="C11" s="4"/>
      <c r="D11" s="4" t="s">
        <v>9</v>
      </c>
      <c r="E11" s="4" t="s">
        <v>10</v>
      </c>
      <c r="F11" s="4">
        <v>15.0</v>
      </c>
      <c r="G11" s="6" t="b">
        <v>1</v>
      </c>
      <c r="H11" s="4" t="s">
        <v>11</v>
      </c>
    </row>
    <row r="12" ht="15.75" customHeight="1">
      <c r="A12" s="4">
        <v>11.0</v>
      </c>
      <c r="B12" s="5" t="s">
        <v>24</v>
      </c>
      <c r="C12" s="4"/>
      <c r="D12" s="4" t="s">
        <v>13</v>
      </c>
      <c r="E12" s="4" t="s">
        <v>10</v>
      </c>
      <c r="F12" s="4">
        <v>15.0</v>
      </c>
      <c r="G12" s="6" t="b">
        <v>1</v>
      </c>
      <c r="H12" s="4" t="s">
        <v>11</v>
      </c>
    </row>
    <row r="13" ht="15.75" customHeight="1">
      <c r="A13" s="4">
        <v>12.0</v>
      </c>
      <c r="B13" s="5" t="s">
        <v>25</v>
      </c>
      <c r="C13" s="4"/>
      <c r="D13" s="4" t="s">
        <v>9</v>
      </c>
      <c r="E13" s="4" t="s">
        <v>10</v>
      </c>
      <c r="F13" s="4">
        <v>0.0</v>
      </c>
      <c r="G13" s="6" t="b">
        <v>1</v>
      </c>
      <c r="H13" s="4" t="s">
        <v>11</v>
      </c>
    </row>
    <row r="14" ht="15.75" customHeight="1">
      <c r="A14" s="4">
        <v>13.0</v>
      </c>
      <c r="B14" s="5" t="s">
        <v>26</v>
      </c>
      <c r="C14" s="4"/>
      <c r="D14" s="4" t="s">
        <v>13</v>
      </c>
      <c r="E14" s="4" t="s">
        <v>10</v>
      </c>
      <c r="F14" s="4">
        <v>15.0</v>
      </c>
      <c r="G14" s="6" t="b">
        <v>1</v>
      </c>
      <c r="H14" s="4" t="s">
        <v>11</v>
      </c>
    </row>
    <row r="15" ht="15.75" customHeight="1">
      <c r="A15" s="4">
        <v>14.0</v>
      </c>
      <c r="B15" s="5" t="s">
        <v>27</v>
      </c>
      <c r="C15" s="4"/>
      <c r="D15" s="4" t="s">
        <v>9</v>
      </c>
      <c r="E15" s="4" t="s">
        <v>10</v>
      </c>
      <c r="F15" s="4">
        <v>15.0</v>
      </c>
      <c r="G15" s="6" t="b">
        <v>1</v>
      </c>
      <c r="H15" s="4" t="s">
        <v>11</v>
      </c>
    </row>
    <row r="16" ht="15.75" customHeight="1">
      <c r="A16" s="4">
        <v>15.0</v>
      </c>
      <c r="B16" s="5" t="s">
        <v>28</v>
      </c>
      <c r="C16" s="4"/>
      <c r="D16" s="4" t="s">
        <v>9</v>
      </c>
      <c r="E16" s="4" t="s">
        <v>10</v>
      </c>
      <c r="F16" s="4">
        <v>15.0</v>
      </c>
      <c r="G16" s="6" t="b">
        <v>1</v>
      </c>
      <c r="H16" s="4" t="s">
        <v>11</v>
      </c>
    </row>
    <row r="17" ht="15.75" customHeight="1">
      <c r="A17" s="4">
        <v>16.0</v>
      </c>
      <c r="B17" s="5" t="s">
        <v>29</v>
      </c>
      <c r="C17" s="4"/>
      <c r="D17" s="4" t="s">
        <v>20</v>
      </c>
      <c r="E17" s="4" t="s">
        <v>10</v>
      </c>
      <c r="F17" s="4">
        <v>15.0</v>
      </c>
      <c r="G17" s="6" t="b">
        <v>1</v>
      </c>
      <c r="H17" s="4" t="s">
        <v>11</v>
      </c>
    </row>
    <row r="18" ht="15.75" customHeight="1">
      <c r="A18" s="4">
        <v>17.0</v>
      </c>
      <c r="B18" s="5" t="s">
        <v>30</v>
      </c>
      <c r="C18" s="4"/>
      <c r="D18" s="4" t="s">
        <v>20</v>
      </c>
      <c r="E18" s="4" t="s">
        <v>10</v>
      </c>
      <c r="F18" s="4">
        <v>15.0</v>
      </c>
      <c r="G18" s="6" t="b">
        <v>1</v>
      </c>
      <c r="H18" s="4" t="s">
        <v>11</v>
      </c>
    </row>
    <row r="19" ht="15.75" customHeight="1">
      <c r="A19" s="4">
        <v>18.0</v>
      </c>
      <c r="B19" s="5" t="s">
        <v>31</v>
      </c>
      <c r="C19" s="4"/>
      <c r="D19" s="4" t="s">
        <v>9</v>
      </c>
      <c r="E19" s="4" t="s">
        <v>10</v>
      </c>
      <c r="F19" s="4">
        <v>15.0</v>
      </c>
      <c r="G19" s="6" t="b">
        <v>1</v>
      </c>
      <c r="H19" s="4" t="s">
        <v>11</v>
      </c>
    </row>
    <row r="20" ht="15.75" customHeight="1">
      <c r="A20" s="4">
        <v>19.0</v>
      </c>
      <c r="B20" s="5" t="s">
        <v>32</v>
      </c>
      <c r="C20" s="4"/>
      <c r="D20" s="4" t="s">
        <v>13</v>
      </c>
      <c r="E20" s="4" t="s">
        <v>10</v>
      </c>
      <c r="F20" s="4">
        <v>15.0</v>
      </c>
      <c r="G20" s="6" t="b">
        <v>1</v>
      </c>
      <c r="H20" s="4" t="s">
        <v>11</v>
      </c>
    </row>
    <row r="21" ht="15.75" customHeight="1">
      <c r="A21" s="4">
        <v>20.0</v>
      </c>
      <c r="B21" s="5" t="s">
        <v>33</v>
      </c>
      <c r="C21" s="4"/>
      <c r="D21" s="4" t="s">
        <v>9</v>
      </c>
      <c r="E21" s="4" t="s">
        <v>10</v>
      </c>
      <c r="F21" s="4">
        <v>15.0</v>
      </c>
      <c r="G21" s="6" t="b">
        <v>1</v>
      </c>
      <c r="H21" s="4" t="s">
        <v>11</v>
      </c>
    </row>
    <row r="22" ht="15.75" customHeight="1">
      <c r="A22" s="4">
        <v>21.0</v>
      </c>
      <c r="B22" s="5" t="s">
        <v>34</v>
      </c>
      <c r="C22" s="4"/>
      <c r="D22" s="4" t="s">
        <v>35</v>
      </c>
      <c r="E22" s="4" t="s">
        <v>14</v>
      </c>
      <c r="F22" s="4">
        <v>15.0</v>
      </c>
      <c r="G22" s="6" t="b">
        <v>1</v>
      </c>
      <c r="H22" s="4" t="s">
        <v>11</v>
      </c>
    </row>
    <row r="23" ht="15.75" customHeight="1">
      <c r="A23" s="4">
        <v>22.0</v>
      </c>
      <c r="B23" s="5" t="s">
        <v>36</v>
      </c>
      <c r="C23" s="4"/>
      <c r="D23" s="4" t="s">
        <v>13</v>
      </c>
      <c r="E23" s="4" t="s">
        <v>14</v>
      </c>
      <c r="F23" s="4">
        <v>15.0</v>
      </c>
      <c r="G23" s="6" t="b">
        <v>1</v>
      </c>
      <c r="H23" s="4" t="s">
        <v>11</v>
      </c>
    </row>
    <row r="24" ht="15.75" customHeight="1">
      <c r="A24" s="4">
        <v>23.0</v>
      </c>
      <c r="B24" s="5" t="s">
        <v>37</v>
      </c>
      <c r="C24" s="4"/>
      <c r="D24" s="4" t="s">
        <v>13</v>
      </c>
      <c r="E24" s="4" t="s">
        <v>14</v>
      </c>
      <c r="F24" s="4">
        <v>22.4</v>
      </c>
      <c r="G24" s="6" t="b">
        <v>1</v>
      </c>
      <c r="H24" s="4" t="s">
        <v>11</v>
      </c>
    </row>
    <row r="25" ht="15.75" customHeight="1">
      <c r="A25" s="4">
        <v>24.0</v>
      </c>
      <c r="B25" s="5" t="s">
        <v>38</v>
      </c>
      <c r="C25" s="4"/>
      <c r="D25" s="4" t="s">
        <v>35</v>
      </c>
      <c r="E25" s="4" t="s">
        <v>10</v>
      </c>
      <c r="F25" s="4">
        <v>22.4</v>
      </c>
      <c r="G25" s="6" t="b">
        <v>1</v>
      </c>
      <c r="H25" s="4" t="s">
        <v>11</v>
      </c>
    </row>
    <row r="26" ht="15.75" customHeight="1">
      <c r="A26" s="4">
        <v>25.0</v>
      </c>
      <c r="B26" s="5" t="s">
        <v>39</v>
      </c>
      <c r="C26" s="4"/>
      <c r="D26" s="4" t="s">
        <v>20</v>
      </c>
      <c r="E26" s="4" t="s">
        <v>10</v>
      </c>
      <c r="F26" s="4">
        <v>22.4</v>
      </c>
      <c r="G26" s="6" t="b">
        <v>1</v>
      </c>
      <c r="H26" s="4" t="s">
        <v>11</v>
      </c>
    </row>
    <row r="27" ht="15.75" customHeight="1">
      <c r="A27" s="4">
        <v>26.0</v>
      </c>
      <c r="B27" s="4" t="s">
        <v>40</v>
      </c>
      <c r="C27" s="4"/>
      <c r="D27" s="4" t="s">
        <v>9</v>
      </c>
      <c r="E27" s="4" t="s">
        <v>10</v>
      </c>
      <c r="F27" s="4">
        <v>22.0</v>
      </c>
      <c r="G27" s="6" t="b">
        <v>1</v>
      </c>
      <c r="H27" s="4" t="s">
        <v>41</v>
      </c>
    </row>
    <row r="28" ht="15.75" customHeight="1">
      <c r="A28" s="4">
        <v>27.0</v>
      </c>
      <c r="B28" s="4" t="s">
        <v>42</v>
      </c>
      <c r="C28" s="4"/>
      <c r="D28" s="4" t="s">
        <v>13</v>
      </c>
      <c r="E28" s="4" t="s">
        <v>14</v>
      </c>
      <c r="F28" s="4">
        <v>22.4</v>
      </c>
      <c r="G28" s="6" t="b">
        <v>1</v>
      </c>
      <c r="H28" s="4" t="s">
        <v>43</v>
      </c>
    </row>
    <row r="29" ht="15.75" customHeight="1">
      <c r="A29" s="4">
        <v>28.0</v>
      </c>
      <c r="B29" s="4" t="s">
        <v>44</v>
      </c>
      <c r="C29" s="4"/>
      <c r="D29" s="4" t="s">
        <v>9</v>
      </c>
      <c r="E29" s="4" t="s">
        <v>14</v>
      </c>
      <c r="F29" s="4">
        <v>22.4</v>
      </c>
      <c r="G29" s="6" t="b">
        <v>1</v>
      </c>
      <c r="H29" s="4" t="s">
        <v>41</v>
      </c>
    </row>
    <row r="30" ht="15.75" customHeight="1">
      <c r="A30" s="4">
        <v>29.0</v>
      </c>
      <c r="B30" s="4" t="s">
        <v>45</v>
      </c>
      <c r="C30" s="4"/>
      <c r="D30" s="4" t="s">
        <v>20</v>
      </c>
      <c r="E30" s="4" t="s">
        <v>14</v>
      </c>
      <c r="F30" s="4">
        <v>22.4</v>
      </c>
      <c r="G30" s="6" t="b">
        <v>1</v>
      </c>
      <c r="H30" s="4" t="s">
        <v>46</v>
      </c>
    </row>
    <row r="31" ht="15.75" customHeight="1">
      <c r="A31" s="4">
        <v>30.0</v>
      </c>
      <c r="B31" s="4" t="s">
        <v>47</v>
      </c>
      <c r="C31" s="4"/>
      <c r="D31" s="4" t="s">
        <v>20</v>
      </c>
      <c r="E31" s="4" t="s">
        <v>10</v>
      </c>
      <c r="F31" s="4">
        <v>22.4</v>
      </c>
      <c r="G31" s="6" t="b">
        <v>1</v>
      </c>
      <c r="H31" s="4" t="s">
        <v>46</v>
      </c>
    </row>
    <row r="32" ht="15.75" customHeight="1">
      <c r="A32" s="4">
        <v>31.0</v>
      </c>
      <c r="B32" s="4" t="s">
        <v>48</v>
      </c>
      <c r="C32" s="4"/>
      <c r="D32" s="4" t="s">
        <v>20</v>
      </c>
      <c r="E32" s="7" t="s">
        <v>14</v>
      </c>
      <c r="F32" s="4">
        <v>22.4</v>
      </c>
      <c r="G32" s="6" t="b">
        <v>1</v>
      </c>
      <c r="H32" s="4" t="s">
        <v>46</v>
      </c>
    </row>
    <row r="33" ht="15.75" customHeight="1">
      <c r="A33" s="4">
        <v>32.0</v>
      </c>
      <c r="B33" s="4" t="s">
        <v>49</v>
      </c>
      <c r="C33" s="4"/>
      <c r="D33" s="4" t="s">
        <v>20</v>
      </c>
      <c r="E33" s="7" t="s">
        <v>10</v>
      </c>
      <c r="F33" s="4">
        <v>22.4</v>
      </c>
      <c r="G33" s="6" t="b">
        <v>1</v>
      </c>
      <c r="H33" s="4" t="s">
        <v>46</v>
      </c>
    </row>
    <row r="34" ht="15.75" customHeight="1">
      <c r="A34" s="4">
        <v>33.0</v>
      </c>
      <c r="B34" s="4" t="s">
        <v>50</v>
      </c>
      <c r="C34" s="4"/>
      <c r="D34" s="4" t="s">
        <v>9</v>
      </c>
      <c r="E34" s="7" t="s">
        <v>10</v>
      </c>
      <c r="F34" s="4">
        <v>22.4</v>
      </c>
      <c r="G34" s="6" t="b">
        <v>1</v>
      </c>
      <c r="H34" s="4" t="s">
        <v>46</v>
      </c>
    </row>
    <row r="35" ht="15.75" customHeight="1">
      <c r="A35" s="4">
        <v>34.0</v>
      </c>
      <c r="B35" s="4" t="s">
        <v>51</v>
      </c>
      <c r="C35" s="4"/>
      <c r="D35" s="4" t="s">
        <v>13</v>
      </c>
      <c r="E35" s="4" t="s">
        <v>14</v>
      </c>
      <c r="F35" s="4">
        <v>22.4</v>
      </c>
      <c r="G35" s="6" t="b">
        <v>1</v>
      </c>
      <c r="H35" s="4" t="s">
        <v>46</v>
      </c>
    </row>
    <row r="36" ht="15.75" customHeight="1">
      <c r="A36" s="4">
        <v>35.0</v>
      </c>
      <c r="B36" s="4" t="s">
        <v>52</v>
      </c>
      <c r="C36" s="4"/>
      <c r="D36" s="4" t="s">
        <v>20</v>
      </c>
      <c r="E36" s="4" t="s">
        <v>14</v>
      </c>
      <c r="F36" s="4">
        <v>22.4</v>
      </c>
      <c r="G36" s="6" t="b">
        <v>1</v>
      </c>
      <c r="H36" s="4" t="s">
        <v>46</v>
      </c>
    </row>
    <row r="37" ht="15.75" customHeight="1">
      <c r="A37" s="4">
        <v>36.0</v>
      </c>
      <c r="B37" s="4" t="s">
        <v>53</v>
      </c>
      <c r="C37" s="4"/>
      <c r="D37" s="4" t="s">
        <v>9</v>
      </c>
      <c r="E37" s="4" t="s">
        <v>14</v>
      </c>
      <c r="F37" s="4">
        <v>22.4</v>
      </c>
      <c r="G37" s="6" t="b">
        <v>1</v>
      </c>
      <c r="H37" s="4" t="s">
        <v>46</v>
      </c>
    </row>
    <row r="38" ht="15.75" customHeight="1">
      <c r="A38" s="4">
        <v>37.0</v>
      </c>
      <c r="B38" s="4" t="s">
        <v>54</v>
      </c>
      <c r="C38" s="4"/>
      <c r="D38" s="4" t="s">
        <v>9</v>
      </c>
      <c r="E38" s="4" t="s">
        <v>10</v>
      </c>
      <c r="F38" s="4">
        <v>22.4</v>
      </c>
      <c r="G38" s="6" t="b">
        <v>1</v>
      </c>
      <c r="H38" s="4" t="s">
        <v>46</v>
      </c>
    </row>
    <row r="39" ht="15.75" customHeight="1">
      <c r="A39" s="4">
        <v>38.0</v>
      </c>
      <c r="B39" s="4" t="s">
        <v>55</v>
      </c>
      <c r="C39" s="4"/>
      <c r="D39" s="4" t="s">
        <v>9</v>
      </c>
      <c r="E39" s="4" t="s">
        <v>14</v>
      </c>
      <c r="F39" s="4">
        <v>22.4</v>
      </c>
      <c r="G39" s="6" t="b">
        <v>1</v>
      </c>
      <c r="H39" s="4" t="s">
        <v>46</v>
      </c>
    </row>
    <row r="40" ht="15.75" customHeight="1">
      <c r="A40" s="8">
        <v>39.0</v>
      </c>
      <c r="B40" s="8" t="s">
        <v>56</v>
      </c>
      <c r="C40" s="8"/>
      <c r="D40" s="8" t="s">
        <v>9</v>
      </c>
      <c r="E40" s="8" t="s">
        <v>14</v>
      </c>
      <c r="F40" s="9">
        <v>22.4</v>
      </c>
      <c r="G40" s="10" t="b">
        <v>1</v>
      </c>
      <c r="H40" s="8" t="s">
        <v>46</v>
      </c>
    </row>
    <row r="41" ht="15.75" customHeight="1">
      <c r="B41" s="2" t="s">
        <v>1</v>
      </c>
      <c r="C41" s="2"/>
      <c r="D41" s="2" t="s">
        <v>3</v>
      </c>
      <c r="E41" s="2" t="s">
        <v>57</v>
      </c>
      <c r="F41" s="2" t="s">
        <v>5</v>
      </c>
      <c r="G41" s="2" t="s">
        <v>6</v>
      </c>
      <c r="H41" s="2" t="s">
        <v>7</v>
      </c>
    </row>
    <row r="42" ht="15.75" customHeight="1">
      <c r="A42" s="11">
        <v>1.0</v>
      </c>
      <c r="B42" s="5" t="s">
        <v>37</v>
      </c>
      <c r="C42" s="4"/>
      <c r="D42" s="4" t="s">
        <v>13</v>
      </c>
      <c r="E42" s="4" t="s">
        <v>14</v>
      </c>
      <c r="F42" s="4">
        <v>22.4</v>
      </c>
      <c r="G42" s="6" t="b">
        <v>1</v>
      </c>
      <c r="H42" s="4" t="s">
        <v>11</v>
      </c>
    </row>
    <row r="43" ht="15.75" customHeight="1">
      <c r="A43" s="11">
        <v>2.0</v>
      </c>
      <c r="B43" s="5" t="s">
        <v>38</v>
      </c>
      <c r="C43" s="4"/>
      <c r="D43" s="4" t="s">
        <v>35</v>
      </c>
      <c r="E43" s="4" t="s">
        <v>10</v>
      </c>
      <c r="F43" s="4">
        <v>22.4</v>
      </c>
      <c r="G43" s="6" t="b">
        <v>1</v>
      </c>
      <c r="H43" s="4" t="s">
        <v>11</v>
      </c>
    </row>
    <row r="44" ht="15.75" customHeight="1">
      <c r="A44" s="11">
        <v>3.0</v>
      </c>
      <c r="B44" s="5" t="s">
        <v>39</v>
      </c>
      <c r="C44" s="4"/>
      <c r="D44" s="4" t="s">
        <v>20</v>
      </c>
      <c r="E44" s="4" t="s">
        <v>10</v>
      </c>
      <c r="F44" s="4">
        <v>22.4</v>
      </c>
      <c r="G44" s="6" t="b">
        <v>1</v>
      </c>
      <c r="H44" s="4" t="s">
        <v>11</v>
      </c>
    </row>
    <row r="45" ht="15.75" customHeight="1">
      <c r="A45" s="11">
        <v>4.0</v>
      </c>
      <c r="B45" s="5" t="s">
        <v>58</v>
      </c>
      <c r="C45" s="4"/>
      <c r="D45" s="4" t="s">
        <v>13</v>
      </c>
      <c r="E45" s="4" t="s">
        <v>10</v>
      </c>
      <c r="F45" s="4">
        <v>22.4</v>
      </c>
      <c r="G45" s="6" t="b">
        <v>1</v>
      </c>
      <c r="H45" s="4" t="s">
        <v>11</v>
      </c>
    </row>
    <row r="46" ht="15.75" customHeight="1">
      <c r="A46" s="11">
        <v>5.0</v>
      </c>
      <c r="B46" s="5" t="s">
        <v>58</v>
      </c>
      <c r="C46" s="4"/>
      <c r="D46" s="4" t="s">
        <v>13</v>
      </c>
      <c r="E46" s="4" t="s">
        <v>14</v>
      </c>
      <c r="F46" s="4">
        <v>22.4</v>
      </c>
      <c r="G46" s="6" t="b">
        <v>1</v>
      </c>
      <c r="H46" s="4" t="s">
        <v>11</v>
      </c>
    </row>
    <row r="47" ht="15.75" customHeight="1">
      <c r="A47" s="11">
        <v>6.0</v>
      </c>
      <c r="B47" s="5" t="s">
        <v>59</v>
      </c>
      <c r="C47" s="4"/>
      <c r="D47" s="4" t="s">
        <v>20</v>
      </c>
      <c r="E47" s="4" t="s">
        <v>14</v>
      </c>
      <c r="F47" s="4">
        <v>22.4</v>
      </c>
      <c r="G47" s="6" t="b">
        <v>1</v>
      </c>
      <c r="H47" s="4" t="s">
        <v>11</v>
      </c>
    </row>
    <row r="48" ht="15.75" customHeight="1">
      <c r="A48" s="11">
        <v>7.0</v>
      </c>
      <c r="B48" s="5" t="s">
        <v>60</v>
      </c>
      <c r="C48" s="4"/>
      <c r="D48" s="4" t="s">
        <v>35</v>
      </c>
      <c r="E48" s="4" t="s">
        <v>10</v>
      </c>
      <c r="F48" s="4">
        <v>22.4</v>
      </c>
      <c r="G48" s="6" t="b">
        <v>1</v>
      </c>
      <c r="H48" s="4" t="s">
        <v>11</v>
      </c>
    </row>
    <row r="49" ht="15.75" customHeight="1">
      <c r="A49" s="11">
        <v>8.0</v>
      </c>
      <c r="B49" s="5" t="s">
        <v>61</v>
      </c>
      <c r="C49" s="4"/>
      <c r="D49" s="4" t="s">
        <v>9</v>
      </c>
      <c r="E49" s="4" t="s">
        <v>10</v>
      </c>
      <c r="F49" s="4">
        <v>22.4</v>
      </c>
      <c r="G49" s="6" t="b">
        <v>1</v>
      </c>
      <c r="H49" s="4" t="s">
        <v>11</v>
      </c>
    </row>
    <row r="50" ht="15.75" customHeight="1">
      <c r="A50" s="11">
        <v>9.0</v>
      </c>
      <c r="B50" s="5" t="s">
        <v>62</v>
      </c>
      <c r="C50" s="4"/>
      <c r="D50" s="4" t="s">
        <v>20</v>
      </c>
      <c r="E50" s="4" t="s">
        <v>10</v>
      </c>
      <c r="F50" s="4">
        <v>22.4</v>
      </c>
      <c r="G50" s="6" t="b">
        <v>1</v>
      </c>
      <c r="H50" s="4" t="s">
        <v>11</v>
      </c>
    </row>
    <row r="51" ht="15.75" customHeight="1">
      <c r="A51" s="11">
        <v>10.0</v>
      </c>
      <c r="B51" s="5" t="s">
        <v>63</v>
      </c>
      <c r="C51" s="4"/>
      <c r="D51" s="4" t="s">
        <v>9</v>
      </c>
      <c r="E51" s="4" t="s">
        <v>10</v>
      </c>
      <c r="F51" s="4">
        <v>22.4</v>
      </c>
      <c r="G51" s="6" t="b">
        <v>1</v>
      </c>
      <c r="H51" s="4" t="s">
        <v>11</v>
      </c>
    </row>
    <row r="52" ht="15.75" customHeight="1">
      <c r="A52" s="11">
        <v>11.0</v>
      </c>
      <c r="B52" s="5" t="s">
        <v>64</v>
      </c>
      <c r="C52" s="4"/>
      <c r="D52" s="4" t="s">
        <v>20</v>
      </c>
      <c r="E52" s="4" t="s">
        <v>10</v>
      </c>
      <c r="F52" s="4">
        <v>22.4</v>
      </c>
      <c r="G52" s="6" t="b">
        <v>1</v>
      </c>
      <c r="H52" s="4" t="s">
        <v>11</v>
      </c>
    </row>
    <row r="53" ht="15.75" customHeight="1">
      <c r="A53" s="11">
        <v>12.0</v>
      </c>
      <c r="B53" s="5" t="s">
        <v>65</v>
      </c>
      <c r="C53" s="4"/>
      <c r="D53" s="4" t="s">
        <v>9</v>
      </c>
      <c r="E53" s="4" t="s">
        <v>10</v>
      </c>
      <c r="F53" s="4">
        <v>22.4</v>
      </c>
      <c r="G53" s="6" t="b">
        <v>1</v>
      </c>
      <c r="H53" s="4" t="s">
        <v>11</v>
      </c>
    </row>
    <row r="54" ht="15.75" customHeight="1">
      <c r="A54" s="11">
        <v>13.0</v>
      </c>
      <c r="B54" s="5" t="s">
        <v>66</v>
      </c>
      <c r="C54" s="4"/>
      <c r="D54" s="4" t="s">
        <v>13</v>
      </c>
      <c r="E54" s="4" t="s">
        <v>10</v>
      </c>
      <c r="F54" s="4">
        <v>22.4</v>
      </c>
      <c r="G54" s="6" t="b">
        <v>1</v>
      </c>
      <c r="H54" s="4" t="s">
        <v>11</v>
      </c>
    </row>
    <row r="55" ht="15.75" customHeight="1">
      <c r="A55" s="11">
        <v>14.0</v>
      </c>
      <c r="B55" s="5" t="s">
        <v>67</v>
      </c>
      <c r="C55" s="4"/>
      <c r="D55" s="4" t="s">
        <v>13</v>
      </c>
      <c r="E55" s="4" t="s">
        <v>14</v>
      </c>
      <c r="F55" s="4">
        <v>22.4</v>
      </c>
      <c r="G55" s="6" t="b">
        <v>1</v>
      </c>
      <c r="H55" s="4" t="s">
        <v>11</v>
      </c>
    </row>
    <row r="56" ht="15.75" customHeight="1">
      <c r="A56" s="11">
        <v>15.0</v>
      </c>
      <c r="B56" s="5" t="s">
        <v>68</v>
      </c>
      <c r="C56" s="4"/>
      <c r="D56" s="4" t="s">
        <v>20</v>
      </c>
      <c r="E56" s="4" t="s">
        <v>10</v>
      </c>
      <c r="F56" s="4">
        <v>22.4</v>
      </c>
      <c r="G56" s="6" t="b">
        <v>1</v>
      </c>
      <c r="H56" s="4" t="s">
        <v>11</v>
      </c>
    </row>
    <row r="57" ht="15.75" customHeight="1">
      <c r="A57" s="11">
        <v>16.0</v>
      </c>
      <c r="B57" s="5" t="s">
        <v>69</v>
      </c>
      <c r="C57" s="4"/>
      <c r="D57" s="4" t="s">
        <v>20</v>
      </c>
      <c r="E57" s="4" t="s">
        <v>10</v>
      </c>
      <c r="F57" s="4">
        <v>22.4</v>
      </c>
      <c r="G57" s="6" t="b">
        <v>1</v>
      </c>
      <c r="H57" s="4" t="s">
        <v>11</v>
      </c>
    </row>
    <row r="58" ht="15.75" customHeight="1">
      <c r="A58" s="11">
        <v>17.0</v>
      </c>
      <c r="B58" s="5" t="s">
        <v>70</v>
      </c>
      <c r="C58" s="4"/>
      <c r="D58" s="4" t="s">
        <v>9</v>
      </c>
      <c r="E58" s="4" t="s">
        <v>14</v>
      </c>
      <c r="F58" s="4">
        <v>22.4</v>
      </c>
      <c r="G58" s="6" t="b">
        <v>1</v>
      </c>
      <c r="H58" s="4" t="s">
        <v>11</v>
      </c>
    </row>
    <row r="59" ht="15.75" customHeight="1">
      <c r="A59" s="11">
        <v>18.0</v>
      </c>
      <c r="B59" s="5" t="s">
        <v>71</v>
      </c>
      <c r="C59" s="4"/>
      <c r="D59" s="4" t="s">
        <v>13</v>
      </c>
      <c r="E59" s="4" t="s">
        <v>10</v>
      </c>
      <c r="F59" s="4">
        <v>22.4</v>
      </c>
      <c r="G59" s="6" t="b">
        <v>1</v>
      </c>
      <c r="H59" s="4" t="s">
        <v>11</v>
      </c>
    </row>
    <row r="60" ht="15.75" customHeight="1">
      <c r="A60" s="11">
        <v>19.0</v>
      </c>
      <c r="B60" s="5" t="s">
        <v>72</v>
      </c>
      <c r="C60" s="4"/>
      <c r="D60" s="4" t="s">
        <v>13</v>
      </c>
      <c r="E60" s="4" t="s">
        <v>14</v>
      </c>
      <c r="F60" s="4">
        <v>22.4</v>
      </c>
      <c r="G60" s="6" t="b">
        <v>1</v>
      </c>
      <c r="H60" s="4" t="s">
        <v>11</v>
      </c>
    </row>
    <row r="61" ht="15.75" customHeight="1">
      <c r="A61" s="11">
        <v>20.0</v>
      </c>
      <c r="B61" s="5" t="s">
        <v>73</v>
      </c>
      <c r="C61" s="4"/>
      <c r="D61" s="4" t="s">
        <v>13</v>
      </c>
      <c r="E61" s="4" t="s">
        <v>14</v>
      </c>
      <c r="F61" s="4">
        <v>22.4</v>
      </c>
      <c r="G61" s="6" t="b">
        <v>1</v>
      </c>
      <c r="H61" s="4" t="s">
        <v>11</v>
      </c>
    </row>
    <row r="62" ht="15.75" customHeight="1">
      <c r="A62" s="11">
        <v>21.0</v>
      </c>
      <c r="B62" s="5" t="s">
        <v>74</v>
      </c>
      <c r="C62" s="4"/>
      <c r="D62" s="4" t="s">
        <v>9</v>
      </c>
      <c r="E62" s="4" t="s">
        <v>14</v>
      </c>
      <c r="F62" s="4">
        <v>22.4</v>
      </c>
      <c r="G62" s="6" t="b">
        <v>1</v>
      </c>
      <c r="H62" s="4" t="s">
        <v>11</v>
      </c>
    </row>
    <row r="63" ht="15.75" customHeight="1">
      <c r="A63" s="11">
        <v>22.0</v>
      </c>
      <c r="B63" s="5" t="s">
        <v>75</v>
      </c>
      <c r="C63" s="4"/>
      <c r="D63" s="4" t="s">
        <v>9</v>
      </c>
      <c r="E63" s="4" t="s">
        <v>14</v>
      </c>
      <c r="F63" s="4">
        <v>22.4</v>
      </c>
      <c r="G63" s="6" t="b">
        <v>1</v>
      </c>
      <c r="H63" s="4" t="s">
        <v>11</v>
      </c>
    </row>
    <row r="64" ht="15.75" customHeight="1">
      <c r="A64" s="11">
        <v>23.0</v>
      </c>
      <c r="B64" s="5" t="s">
        <v>76</v>
      </c>
      <c r="C64" s="4"/>
      <c r="D64" s="4" t="s">
        <v>20</v>
      </c>
      <c r="E64" s="4" t="s">
        <v>10</v>
      </c>
      <c r="F64" s="4">
        <v>22.4</v>
      </c>
      <c r="G64" s="6" t="b">
        <v>1</v>
      </c>
      <c r="H64" s="4" t="s">
        <v>11</v>
      </c>
    </row>
    <row r="65" ht="15.75" customHeight="1">
      <c r="A65" s="11">
        <v>24.0</v>
      </c>
      <c r="B65" s="5" t="s">
        <v>77</v>
      </c>
      <c r="C65" s="4"/>
      <c r="D65" s="4" t="s">
        <v>9</v>
      </c>
      <c r="E65" s="4" t="s">
        <v>10</v>
      </c>
      <c r="F65" s="4">
        <v>22.4</v>
      </c>
      <c r="G65" s="6" t="b">
        <v>1</v>
      </c>
      <c r="H65" s="4" t="s">
        <v>11</v>
      </c>
    </row>
    <row r="66" ht="15.75" customHeight="1">
      <c r="A66" s="11">
        <v>25.0</v>
      </c>
      <c r="B66" s="5" t="s">
        <v>78</v>
      </c>
      <c r="C66" s="4"/>
      <c r="D66" s="4" t="s">
        <v>35</v>
      </c>
      <c r="E66" s="4" t="s">
        <v>10</v>
      </c>
      <c r="F66" s="4">
        <v>22.4</v>
      </c>
      <c r="G66" s="6" t="b">
        <v>1</v>
      </c>
      <c r="H66" s="4" t="s">
        <v>11</v>
      </c>
    </row>
    <row r="67" ht="15.75" customHeight="1">
      <c r="A67" s="11">
        <v>26.0</v>
      </c>
      <c r="B67" s="5" t="s">
        <v>79</v>
      </c>
      <c r="C67" s="4"/>
      <c r="D67" s="4" t="s">
        <v>13</v>
      </c>
      <c r="E67" s="4" t="s">
        <v>10</v>
      </c>
      <c r="F67" s="4">
        <v>22.4</v>
      </c>
      <c r="G67" s="6" t="b">
        <v>1</v>
      </c>
      <c r="H67" s="4" t="s">
        <v>11</v>
      </c>
    </row>
    <row r="68" ht="15.75" customHeight="1">
      <c r="A68" s="11">
        <v>27.0</v>
      </c>
      <c r="B68" s="5" t="s">
        <v>80</v>
      </c>
      <c r="C68" s="4"/>
      <c r="D68" s="4" t="s">
        <v>9</v>
      </c>
      <c r="E68" s="4" t="s">
        <v>14</v>
      </c>
      <c r="F68" s="4">
        <v>22.4</v>
      </c>
      <c r="G68" s="6" t="b">
        <v>1</v>
      </c>
      <c r="H68" s="4" t="s">
        <v>11</v>
      </c>
    </row>
    <row r="69" ht="15.75" customHeight="1">
      <c r="A69" s="11">
        <v>28.0</v>
      </c>
      <c r="B69" s="5" t="s">
        <v>81</v>
      </c>
      <c r="C69" s="4"/>
      <c r="D69" s="4" t="s">
        <v>20</v>
      </c>
      <c r="E69" s="4" t="s">
        <v>14</v>
      </c>
      <c r="F69" s="4">
        <v>22.4</v>
      </c>
      <c r="G69" s="6" t="b">
        <v>1</v>
      </c>
      <c r="H69" s="4" t="s">
        <v>11</v>
      </c>
    </row>
    <row r="70" ht="15.75" customHeight="1">
      <c r="A70" s="11">
        <v>29.0</v>
      </c>
      <c r="B70" s="5" t="s">
        <v>82</v>
      </c>
      <c r="C70" s="4"/>
      <c r="D70" s="4" t="s">
        <v>20</v>
      </c>
      <c r="E70" s="4" t="s">
        <v>10</v>
      </c>
      <c r="F70" s="4">
        <v>22.4</v>
      </c>
      <c r="G70" s="6" t="b">
        <v>1</v>
      </c>
      <c r="H70" s="4" t="s">
        <v>11</v>
      </c>
    </row>
    <row r="71" ht="15.75" customHeight="1">
      <c r="A71" s="11">
        <v>30.0</v>
      </c>
      <c r="B71" s="5" t="s">
        <v>83</v>
      </c>
      <c r="C71" s="4"/>
      <c r="D71" s="4" t="s">
        <v>9</v>
      </c>
      <c r="E71" s="4" t="s">
        <v>10</v>
      </c>
      <c r="F71" s="4">
        <v>22.4</v>
      </c>
      <c r="G71" s="6" t="b">
        <v>1</v>
      </c>
      <c r="H71" s="4" t="s">
        <v>11</v>
      </c>
    </row>
    <row r="72" ht="15.75" customHeight="1">
      <c r="C72" s="12"/>
      <c r="D72" s="12"/>
      <c r="E72" s="13" t="s">
        <v>84</v>
      </c>
      <c r="F72" s="13">
        <f>SUM(F45:F71)</f>
        <v>604.8</v>
      </c>
      <c r="K72" s="12">
        <f>SUM(K74:K76)</f>
        <v>16.5</v>
      </c>
    </row>
    <row r="73" ht="15.75" customHeight="1">
      <c r="A73" s="14" t="s">
        <v>0</v>
      </c>
      <c r="B73" s="14" t="s">
        <v>1</v>
      </c>
      <c r="C73" s="14"/>
      <c r="D73" s="14" t="s">
        <v>3</v>
      </c>
      <c r="E73" s="14" t="s">
        <v>85</v>
      </c>
      <c r="F73" s="14" t="s">
        <v>5</v>
      </c>
      <c r="G73" s="14" t="s">
        <v>6</v>
      </c>
      <c r="H73" s="14" t="s">
        <v>7</v>
      </c>
      <c r="I73" s="14" t="s">
        <v>86</v>
      </c>
      <c r="J73" s="14" t="s">
        <v>87</v>
      </c>
      <c r="K73" s="14" t="s">
        <v>88</v>
      </c>
    </row>
    <row r="74" ht="15.75" customHeight="1">
      <c r="A74" s="4">
        <v>1.0</v>
      </c>
      <c r="B74" s="5" t="s">
        <v>89</v>
      </c>
      <c r="C74" s="4"/>
      <c r="D74" s="4" t="s">
        <v>9</v>
      </c>
      <c r="E74" s="4" t="s">
        <v>10</v>
      </c>
      <c r="F74" s="4">
        <v>22.0</v>
      </c>
      <c r="G74" s="6" t="b">
        <v>1</v>
      </c>
      <c r="H74" s="4" t="s">
        <v>43</v>
      </c>
      <c r="I74" s="4">
        <v>10.5</v>
      </c>
      <c r="J74" s="4">
        <v>6.0</v>
      </c>
      <c r="K74" s="4">
        <f t="shared" ref="K74:K76" si="1">F74-I74-J74</f>
        <v>5.5</v>
      </c>
    </row>
    <row r="75" ht="15.75" customHeight="1">
      <c r="A75" s="4">
        <v>2.0</v>
      </c>
      <c r="B75" s="5" t="s">
        <v>90</v>
      </c>
      <c r="C75" s="4"/>
      <c r="D75" s="4" t="s">
        <v>20</v>
      </c>
      <c r="E75" s="4" t="s">
        <v>10</v>
      </c>
      <c r="F75" s="4">
        <v>22.0</v>
      </c>
      <c r="G75" s="6" t="b">
        <v>1</v>
      </c>
      <c r="H75" s="4" t="s">
        <v>43</v>
      </c>
      <c r="I75" s="4">
        <v>10.5</v>
      </c>
      <c r="J75" s="4">
        <v>6.0</v>
      </c>
      <c r="K75" s="4">
        <f t="shared" si="1"/>
        <v>5.5</v>
      </c>
    </row>
    <row r="76" ht="15.75" customHeight="1">
      <c r="A76" s="4">
        <v>3.0</v>
      </c>
      <c r="B76" s="5" t="s">
        <v>91</v>
      </c>
      <c r="C76" s="4"/>
      <c r="D76" s="4" t="s">
        <v>13</v>
      </c>
      <c r="E76" s="4" t="s">
        <v>14</v>
      </c>
      <c r="F76" s="4">
        <v>22.0</v>
      </c>
      <c r="G76" s="6" t="b">
        <v>0</v>
      </c>
      <c r="H76" s="4" t="s">
        <v>11</v>
      </c>
      <c r="I76" s="4">
        <v>10.5</v>
      </c>
      <c r="J76" s="4">
        <v>6.0</v>
      </c>
      <c r="K76" s="4">
        <f t="shared" si="1"/>
        <v>5.5</v>
      </c>
    </row>
    <row r="77" ht="15.75" customHeight="1">
      <c r="A77" s="4">
        <v>4.0</v>
      </c>
      <c r="J77" s="4"/>
      <c r="K77" s="4"/>
    </row>
    <row r="78" ht="15.75" customHeight="1">
      <c r="A78" s="4">
        <v>5.0</v>
      </c>
      <c r="J78" s="4"/>
      <c r="K78" s="4"/>
    </row>
    <row r="79" ht="15.75" customHeight="1">
      <c r="A79" s="4">
        <v>6.0</v>
      </c>
    </row>
    <row r="80" ht="15.75" customHeight="1">
      <c r="A80" s="4">
        <v>7.0</v>
      </c>
    </row>
    <row r="81" ht="15.75" customHeight="1">
      <c r="A81" s="4">
        <v>8.0</v>
      </c>
    </row>
    <row r="82" ht="15.75" customHeight="1">
      <c r="A82" s="4">
        <v>9.0</v>
      </c>
    </row>
    <row r="83" ht="15.75" customHeight="1">
      <c r="A83" s="4">
        <v>10.0</v>
      </c>
    </row>
    <row r="84" ht="15.75" customHeight="1">
      <c r="A84" s="4">
        <v>11.0</v>
      </c>
    </row>
    <row r="85" ht="15.75" customHeight="1">
      <c r="A85" s="4">
        <v>12.0</v>
      </c>
    </row>
    <row r="86" ht="15.75" customHeight="1">
      <c r="A86" s="4">
        <v>13.0</v>
      </c>
    </row>
    <row r="87" ht="15.75" customHeight="1">
      <c r="A87" s="4">
        <v>14.0</v>
      </c>
    </row>
    <row r="88" ht="15.75" customHeight="1">
      <c r="A88" s="4">
        <v>15.0</v>
      </c>
    </row>
    <row r="89" ht="15.75" customHeight="1">
      <c r="A89" s="4">
        <v>16.0</v>
      </c>
    </row>
    <row r="90" ht="15.75" customHeight="1">
      <c r="A90" s="4">
        <v>17.0</v>
      </c>
    </row>
    <row r="91" ht="15.75" customHeight="1">
      <c r="A91" s="4">
        <v>18.0</v>
      </c>
    </row>
    <row r="92" ht="15.75" customHeight="1">
      <c r="A92" s="4">
        <v>19.0</v>
      </c>
    </row>
    <row r="93" ht="15.75" customHeight="1">
      <c r="A93" s="4">
        <v>20.0</v>
      </c>
    </row>
    <row r="94" ht="15.75" customHeight="1">
      <c r="A94" s="4">
        <v>21.0</v>
      </c>
    </row>
    <row r="95" ht="15.75" customHeight="1">
      <c r="A95" s="4">
        <v>22.0</v>
      </c>
    </row>
    <row r="96" ht="15.75" customHeight="1">
      <c r="A96" s="4">
        <v>23.0</v>
      </c>
    </row>
    <row r="97" ht="15.75" customHeight="1">
      <c r="A97" s="4">
        <v>24.0</v>
      </c>
    </row>
    <row r="98" ht="15.75" customHeight="1">
      <c r="A98" s="4">
        <v>25.0</v>
      </c>
    </row>
    <row r="99" ht="15.75" customHeight="1">
      <c r="A99" s="4">
        <v>26.0</v>
      </c>
    </row>
    <row r="100" ht="15.75" customHeight="1">
      <c r="A100" s="4">
        <v>27.0</v>
      </c>
    </row>
    <row r="101" ht="15.75" customHeight="1">
      <c r="A101" s="4">
        <v>28.0</v>
      </c>
    </row>
    <row r="102" ht="15.75" customHeight="1">
      <c r="A102" s="4">
        <v>29.0</v>
      </c>
    </row>
    <row r="103" ht="15.75" customHeight="1">
      <c r="A103" s="4">
        <v>30.0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0.38"/>
    <col customWidth="1" min="3" max="3" width="11.88"/>
    <col customWidth="1" min="4" max="4" width="8.13"/>
    <col customWidth="1" min="5" max="5" width="6.38"/>
    <col customWidth="1" min="6" max="6" width="11.13"/>
    <col customWidth="1" min="7" max="7" width="9.75"/>
    <col customWidth="1" min="8" max="8" width="15.38"/>
    <col customWidth="1" min="9" max="9" width="11.63"/>
    <col customWidth="1" min="10" max="10" width="17.38"/>
    <col customWidth="1" min="11" max="11" width="18.38"/>
    <col customWidth="1" min="12" max="12" width="10.25"/>
    <col customWidth="1" min="13" max="13" width="9.75"/>
    <col customWidth="1" min="14" max="14" width="7.38"/>
    <col customWidth="1" min="15" max="15" width="11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6"/>
      <c r="B2" s="15" t="s">
        <v>92</v>
      </c>
      <c r="C2" s="16"/>
      <c r="D2" s="16"/>
      <c r="E2" s="16"/>
      <c r="F2" s="16"/>
      <c r="G2" s="16"/>
      <c r="H2" s="16"/>
      <c r="I2" s="17"/>
      <c r="J2" s="6"/>
      <c r="K2" s="15" t="s">
        <v>93</v>
      </c>
      <c r="L2" s="16"/>
      <c r="M2" s="16"/>
      <c r="N2" s="16"/>
      <c r="O2" s="17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18" t="s">
        <v>94</v>
      </c>
      <c r="C3" s="19" t="s">
        <v>95</v>
      </c>
      <c r="D3" s="19" t="s">
        <v>96</v>
      </c>
      <c r="E3" s="19" t="s">
        <v>97</v>
      </c>
      <c r="F3" s="19" t="s">
        <v>98</v>
      </c>
      <c r="G3" s="19" t="s">
        <v>99</v>
      </c>
      <c r="H3" s="19" t="s">
        <v>100</v>
      </c>
      <c r="I3" s="20" t="s">
        <v>6</v>
      </c>
      <c r="J3" s="6"/>
      <c r="K3" s="18" t="s">
        <v>94</v>
      </c>
      <c r="L3" s="19" t="s">
        <v>95</v>
      </c>
      <c r="M3" s="19" t="s">
        <v>99</v>
      </c>
      <c r="N3" s="19" t="s">
        <v>100</v>
      </c>
      <c r="O3" s="20" t="s">
        <v>6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6"/>
      <c r="B4" s="21" t="s">
        <v>101</v>
      </c>
      <c r="C4" s="22">
        <v>3.10807093E9</v>
      </c>
      <c r="D4" s="22" t="s">
        <v>102</v>
      </c>
      <c r="E4" s="22" t="s">
        <v>13</v>
      </c>
      <c r="F4" s="22" t="s">
        <v>103</v>
      </c>
      <c r="G4" s="22">
        <v>1.0</v>
      </c>
      <c r="H4" s="23">
        <v>15000.0</v>
      </c>
      <c r="I4" s="24" t="s">
        <v>104</v>
      </c>
      <c r="J4" s="6"/>
      <c r="K4" s="21" t="s">
        <v>105</v>
      </c>
      <c r="L4" s="22">
        <v>3.114148419E9</v>
      </c>
      <c r="M4" s="22">
        <v>1.0</v>
      </c>
      <c r="N4" s="23">
        <v>15000.0</v>
      </c>
      <c r="O4" s="25" t="s">
        <v>104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6"/>
      <c r="B5" s="21" t="s">
        <v>105</v>
      </c>
      <c r="C5" s="22">
        <v>3.114148419E9</v>
      </c>
      <c r="D5" s="22" t="s">
        <v>106</v>
      </c>
      <c r="E5" s="22" t="s">
        <v>9</v>
      </c>
      <c r="F5" s="22" t="s">
        <v>107</v>
      </c>
      <c r="G5" s="22">
        <v>1.0</v>
      </c>
      <c r="H5" s="23">
        <v>20000.0</v>
      </c>
      <c r="I5" s="24" t="s">
        <v>104</v>
      </c>
      <c r="J5" s="6"/>
      <c r="K5" s="21" t="s">
        <v>108</v>
      </c>
      <c r="L5" s="22">
        <v>3.204414184E9</v>
      </c>
      <c r="M5" s="22">
        <v>1.0</v>
      </c>
      <c r="N5" s="23">
        <v>15000.0</v>
      </c>
      <c r="O5" s="25" t="s">
        <v>109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6"/>
      <c r="B6" s="21" t="s">
        <v>110</v>
      </c>
      <c r="C6" s="22">
        <v>3.023532955E9</v>
      </c>
      <c r="D6" s="22" t="s">
        <v>106</v>
      </c>
      <c r="E6" s="22" t="s">
        <v>35</v>
      </c>
      <c r="F6" s="22" t="s">
        <v>103</v>
      </c>
      <c r="G6" s="22">
        <v>1.0</v>
      </c>
      <c r="H6" s="23">
        <v>15000.0</v>
      </c>
      <c r="I6" s="25" t="s">
        <v>109</v>
      </c>
      <c r="J6" s="6"/>
      <c r="K6" s="21" t="s">
        <v>111</v>
      </c>
      <c r="L6" s="22">
        <v>3.058667234E9</v>
      </c>
      <c r="M6" s="22">
        <v>1.0</v>
      </c>
      <c r="N6" s="23">
        <v>10000.0</v>
      </c>
      <c r="O6" s="25" t="s">
        <v>104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6"/>
      <c r="B7" s="21" t="s">
        <v>12</v>
      </c>
      <c r="C7" s="22">
        <v>3.213249733E9</v>
      </c>
      <c r="D7" s="22" t="s">
        <v>102</v>
      </c>
      <c r="E7" s="22" t="s">
        <v>9</v>
      </c>
      <c r="F7" s="22" t="s">
        <v>103</v>
      </c>
      <c r="G7" s="22">
        <v>1.0</v>
      </c>
      <c r="H7" s="23">
        <v>15000.0</v>
      </c>
      <c r="I7" s="24" t="s">
        <v>104</v>
      </c>
      <c r="J7" s="6"/>
      <c r="K7" s="26"/>
      <c r="L7" s="27"/>
      <c r="M7" s="27"/>
      <c r="N7" s="28"/>
      <c r="O7" s="2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6"/>
      <c r="B8" s="21" t="s">
        <v>112</v>
      </c>
      <c r="C8" s="22">
        <v>3.018229649E9</v>
      </c>
      <c r="D8" s="22" t="s">
        <v>102</v>
      </c>
      <c r="E8" s="22" t="s">
        <v>35</v>
      </c>
      <c r="F8" s="22" t="s">
        <v>107</v>
      </c>
      <c r="G8" s="22">
        <v>1.0</v>
      </c>
      <c r="H8" s="23">
        <v>15000.0</v>
      </c>
      <c r="I8" s="25" t="s">
        <v>109</v>
      </c>
      <c r="J8" s="6"/>
      <c r="K8" s="26"/>
      <c r="L8" s="27"/>
      <c r="M8" s="27"/>
      <c r="N8" s="28"/>
      <c r="O8" s="2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21" t="s">
        <v>108</v>
      </c>
      <c r="C9" s="22">
        <v>3.204414184E9</v>
      </c>
      <c r="D9" s="22" t="s">
        <v>106</v>
      </c>
      <c r="E9" s="22" t="s">
        <v>9</v>
      </c>
      <c r="F9" s="22" t="s">
        <v>103</v>
      </c>
      <c r="G9" s="22">
        <v>1.0</v>
      </c>
      <c r="H9" s="23">
        <v>20000.0</v>
      </c>
      <c r="I9" s="25" t="s">
        <v>109</v>
      </c>
      <c r="J9" s="6"/>
      <c r="K9" s="26"/>
      <c r="L9" s="27"/>
      <c r="M9" s="27"/>
      <c r="N9" s="28"/>
      <c r="O9" s="2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6"/>
      <c r="B10" s="21" t="s">
        <v>113</v>
      </c>
      <c r="C10" s="22">
        <v>3.223685816E9</v>
      </c>
      <c r="D10" s="22" t="s">
        <v>102</v>
      </c>
      <c r="E10" s="22" t="s">
        <v>13</v>
      </c>
      <c r="F10" s="22" t="s">
        <v>107</v>
      </c>
      <c r="G10" s="22">
        <v>1.0</v>
      </c>
      <c r="H10" s="23">
        <v>15000.0</v>
      </c>
      <c r="I10" s="25" t="s">
        <v>109</v>
      </c>
      <c r="J10" s="6"/>
      <c r="K10" s="26"/>
      <c r="L10" s="27"/>
      <c r="M10" s="27"/>
      <c r="N10" s="28"/>
      <c r="O10" s="2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6"/>
      <c r="B11" s="21" t="s">
        <v>101</v>
      </c>
      <c r="C11" s="22">
        <v>3.10807093E9</v>
      </c>
      <c r="D11" s="22" t="s">
        <v>102</v>
      </c>
      <c r="E11" s="22" t="s">
        <v>13</v>
      </c>
      <c r="F11" s="22" t="s">
        <v>107</v>
      </c>
      <c r="G11" s="22">
        <v>1.0</v>
      </c>
      <c r="H11" s="23">
        <v>15000.0</v>
      </c>
      <c r="I11" s="24" t="s">
        <v>104</v>
      </c>
      <c r="J11" s="6"/>
      <c r="K11" s="26"/>
      <c r="L11" s="27"/>
      <c r="M11" s="27"/>
      <c r="N11" s="28"/>
      <c r="O11" s="2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21" t="s">
        <v>114</v>
      </c>
      <c r="C12" s="22">
        <v>3.112704036E9</v>
      </c>
      <c r="D12" s="22" t="s">
        <v>106</v>
      </c>
      <c r="E12" s="22" t="s">
        <v>20</v>
      </c>
      <c r="F12" s="22" t="s">
        <v>107</v>
      </c>
      <c r="G12" s="22">
        <v>1.0</v>
      </c>
      <c r="H12" s="23">
        <v>15000.0</v>
      </c>
      <c r="I12" s="24" t="s">
        <v>104</v>
      </c>
      <c r="J12" s="6"/>
      <c r="K12" s="26"/>
      <c r="L12" s="27"/>
      <c r="M12" s="27"/>
      <c r="N12" s="28"/>
      <c r="O12" s="2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6"/>
      <c r="B13" s="21" t="s">
        <v>115</v>
      </c>
      <c r="C13" s="22">
        <v>3.209689647E9</v>
      </c>
      <c r="D13" s="22" t="s">
        <v>102</v>
      </c>
      <c r="E13" s="22" t="s">
        <v>13</v>
      </c>
      <c r="F13" s="22" t="s">
        <v>107</v>
      </c>
      <c r="G13" s="22">
        <v>1.0</v>
      </c>
      <c r="H13" s="23">
        <v>15000.0</v>
      </c>
      <c r="I13" s="25" t="s">
        <v>109</v>
      </c>
      <c r="J13" s="6"/>
      <c r="K13" s="26"/>
      <c r="L13" s="27"/>
      <c r="M13" s="27"/>
      <c r="N13" s="28"/>
      <c r="O13" s="2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6"/>
      <c r="B14" s="21" t="s">
        <v>115</v>
      </c>
      <c r="C14" s="22">
        <v>3.209689647E9</v>
      </c>
      <c r="D14" s="22" t="s">
        <v>102</v>
      </c>
      <c r="E14" s="22" t="s">
        <v>9</v>
      </c>
      <c r="F14" s="22" t="s">
        <v>107</v>
      </c>
      <c r="G14" s="22">
        <v>1.0</v>
      </c>
      <c r="H14" s="23">
        <v>15000.0</v>
      </c>
      <c r="I14" s="25" t="s">
        <v>109</v>
      </c>
      <c r="J14" s="6"/>
      <c r="K14" s="26"/>
      <c r="L14" s="27"/>
      <c r="M14" s="27"/>
      <c r="N14" s="28"/>
      <c r="O14" s="2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21" t="s">
        <v>115</v>
      </c>
      <c r="C15" s="22">
        <v>3.209689647E9</v>
      </c>
      <c r="D15" s="22" t="s">
        <v>102</v>
      </c>
      <c r="E15" s="22" t="s">
        <v>9</v>
      </c>
      <c r="F15" s="22" t="s">
        <v>103</v>
      </c>
      <c r="G15" s="22">
        <v>1.0</v>
      </c>
      <c r="H15" s="23">
        <v>15000.0</v>
      </c>
      <c r="I15" s="25" t="s">
        <v>109</v>
      </c>
      <c r="J15" s="6"/>
      <c r="K15" s="26"/>
      <c r="L15" s="27"/>
      <c r="M15" s="27"/>
      <c r="N15" s="28"/>
      <c r="O15" s="2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21" t="s">
        <v>116</v>
      </c>
      <c r="C16" s="22">
        <v>3.218188724E9</v>
      </c>
      <c r="D16" s="22" t="s">
        <v>102</v>
      </c>
      <c r="E16" s="22" t="s">
        <v>13</v>
      </c>
      <c r="F16" s="22" t="s">
        <v>107</v>
      </c>
      <c r="G16" s="22">
        <v>1.0</v>
      </c>
      <c r="H16" s="23">
        <v>20000.0</v>
      </c>
      <c r="I16" s="25" t="s">
        <v>109</v>
      </c>
      <c r="J16" s="6"/>
      <c r="K16" s="30"/>
      <c r="L16" s="31"/>
      <c r="M16" s="31"/>
      <c r="N16" s="32"/>
      <c r="O16" s="33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21" t="s">
        <v>117</v>
      </c>
      <c r="C17" s="22">
        <v>3.176646372E9</v>
      </c>
      <c r="D17" s="22" t="s">
        <v>106</v>
      </c>
      <c r="E17" s="22" t="s">
        <v>13</v>
      </c>
      <c r="F17" s="22" t="s">
        <v>103</v>
      </c>
      <c r="G17" s="22">
        <v>1.0</v>
      </c>
      <c r="H17" s="23">
        <v>15000.0</v>
      </c>
      <c r="I17" s="25" t="s">
        <v>109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34" t="s">
        <v>111</v>
      </c>
      <c r="C18" s="35">
        <v>3.058667234E9</v>
      </c>
      <c r="D18" s="35" t="s">
        <v>106</v>
      </c>
      <c r="E18" s="35" t="s">
        <v>20</v>
      </c>
      <c r="F18" s="35" t="s">
        <v>107</v>
      </c>
      <c r="G18" s="35">
        <v>1.0</v>
      </c>
      <c r="H18" s="36">
        <v>15000.0</v>
      </c>
      <c r="I18" s="37" t="s">
        <v>104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38" t="s">
        <v>118</v>
      </c>
      <c r="C21" s="39"/>
      <c r="D21" s="39"/>
      <c r="E21" s="39"/>
      <c r="F21" s="39"/>
      <c r="G21" s="39"/>
      <c r="H21" s="39"/>
      <c r="I21" s="4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41" t="s">
        <v>94</v>
      </c>
      <c r="C22" s="42" t="s">
        <v>95</v>
      </c>
      <c r="D22" s="42" t="s">
        <v>96</v>
      </c>
      <c r="E22" s="42" t="s">
        <v>97</v>
      </c>
      <c r="F22" s="42" t="s">
        <v>99</v>
      </c>
      <c r="G22" s="42" t="s">
        <v>100</v>
      </c>
      <c r="H22" s="43" t="s">
        <v>119</v>
      </c>
      <c r="I22" s="44" t="s">
        <v>6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B23" s="45" t="s">
        <v>74</v>
      </c>
      <c r="C23" s="46">
        <v>3.132136014E9</v>
      </c>
      <c r="D23" s="47" t="s">
        <v>102</v>
      </c>
      <c r="E23" s="46" t="s">
        <v>9</v>
      </c>
      <c r="F23" s="47">
        <v>1.0</v>
      </c>
      <c r="G23" s="48" t="s">
        <v>120</v>
      </c>
      <c r="H23" s="49" t="s">
        <v>121</v>
      </c>
      <c r="I23" s="50" t="s">
        <v>104</v>
      </c>
      <c r="J23" s="51" t="s">
        <v>122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45" t="s">
        <v>111</v>
      </c>
      <c r="C24" s="46">
        <v>3.058667234E9</v>
      </c>
      <c r="D24" s="47" t="s">
        <v>106</v>
      </c>
      <c r="E24" s="46" t="s">
        <v>20</v>
      </c>
      <c r="F24" s="47">
        <v>1.0</v>
      </c>
      <c r="G24" s="48">
        <v>45000.0</v>
      </c>
      <c r="H24" s="48" t="s">
        <v>123</v>
      </c>
      <c r="I24" s="50" t="s">
        <v>104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45" t="s">
        <v>117</v>
      </c>
      <c r="C25" s="46">
        <v>3.176646372E9</v>
      </c>
      <c r="D25" s="47" t="s">
        <v>106</v>
      </c>
      <c r="E25" s="46" t="s">
        <v>9</v>
      </c>
      <c r="F25" s="47">
        <v>1.0</v>
      </c>
      <c r="G25" s="48">
        <v>45000.0</v>
      </c>
      <c r="H25" s="48" t="s">
        <v>123</v>
      </c>
      <c r="I25" s="50" t="s">
        <v>104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45" t="s">
        <v>116</v>
      </c>
      <c r="C26" s="46">
        <v>3.218188724E9</v>
      </c>
      <c r="D26" s="46" t="s">
        <v>102</v>
      </c>
      <c r="E26" s="46" t="s">
        <v>13</v>
      </c>
      <c r="F26" s="46">
        <v>1.0</v>
      </c>
      <c r="G26" s="48">
        <v>60000.0</v>
      </c>
      <c r="H26" s="46" t="s">
        <v>123</v>
      </c>
      <c r="I26" s="50" t="s">
        <v>104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45" t="s">
        <v>124</v>
      </c>
      <c r="C27" s="46">
        <v>3.026896639E9</v>
      </c>
      <c r="D27" s="46" t="s">
        <v>102</v>
      </c>
      <c r="E27" s="46" t="s">
        <v>9</v>
      </c>
      <c r="F27" s="46">
        <v>1.0</v>
      </c>
      <c r="G27" s="48">
        <v>45000.0</v>
      </c>
      <c r="H27" s="46" t="s">
        <v>123</v>
      </c>
      <c r="I27" s="50" t="s">
        <v>104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52" t="s">
        <v>110</v>
      </c>
      <c r="C28" s="47">
        <v>3.023532955E9</v>
      </c>
      <c r="D28" s="47" t="s">
        <v>106</v>
      </c>
      <c r="E28" s="46" t="s">
        <v>20</v>
      </c>
      <c r="F28" s="46">
        <v>1.0</v>
      </c>
      <c r="G28" s="48">
        <v>45000.0</v>
      </c>
      <c r="H28" s="46" t="s">
        <v>123</v>
      </c>
      <c r="I28" s="50" t="s">
        <v>104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52" t="s">
        <v>115</v>
      </c>
      <c r="C29" s="47">
        <v>3.209689647E9</v>
      </c>
      <c r="D29" s="46" t="s">
        <v>102</v>
      </c>
      <c r="E29" s="46" t="s">
        <v>9</v>
      </c>
      <c r="F29" s="46">
        <v>1.0</v>
      </c>
      <c r="G29" s="48">
        <v>45000.0</v>
      </c>
      <c r="H29" s="49" t="s">
        <v>121</v>
      </c>
      <c r="I29" s="50" t="s">
        <v>104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45" t="s">
        <v>16</v>
      </c>
      <c r="C30" s="46">
        <v>3.175557122E9</v>
      </c>
      <c r="D30" s="47" t="s">
        <v>106</v>
      </c>
      <c r="E30" s="46" t="s">
        <v>13</v>
      </c>
      <c r="F30" s="46">
        <v>1.0</v>
      </c>
      <c r="G30" s="48">
        <v>45000.0</v>
      </c>
      <c r="H30" s="46" t="s">
        <v>123</v>
      </c>
      <c r="I30" s="50" t="s">
        <v>104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45" t="s">
        <v>125</v>
      </c>
      <c r="C31" s="46">
        <v>3.194923879E9</v>
      </c>
      <c r="D31" s="47" t="s">
        <v>106</v>
      </c>
      <c r="E31" s="46" t="s">
        <v>9</v>
      </c>
      <c r="F31" s="46">
        <v>1.0</v>
      </c>
      <c r="G31" s="48">
        <v>45000.0</v>
      </c>
      <c r="H31" s="46" t="s">
        <v>123</v>
      </c>
      <c r="I31" s="50" t="s">
        <v>104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45" t="s">
        <v>126</v>
      </c>
      <c r="C32" s="46">
        <v>3.227662835E9</v>
      </c>
      <c r="D32" s="47" t="s">
        <v>106</v>
      </c>
      <c r="E32" s="46" t="s">
        <v>9</v>
      </c>
      <c r="F32" s="46">
        <v>1.0</v>
      </c>
      <c r="G32" s="48">
        <v>45000.0</v>
      </c>
      <c r="H32" s="49" t="s">
        <v>121</v>
      </c>
      <c r="I32" s="50" t="s">
        <v>104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45" t="s">
        <v>127</v>
      </c>
      <c r="C33" s="46">
        <v>3.005785433E9</v>
      </c>
      <c r="D33" s="46" t="s">
        <v>102</v>
      </c>
      <c r="E33" s="46" t="s">
        <v>9</v>
      </c>
      <c r="F33" s="46">
        <v>1.0</v>
      </c>
      <c r="G33" s="48">
        <v>45000.0</v>
      </c>
      <c r="H33" s="46" t="s">
        <v>123</v>
      </c>
      <c r="I33" s="50" t="s">
        <v>104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45" t="s">
        <v>128</v>
      </c>
      <c r="C34" s="46">
        <v>3.022396969E9</v>
      </c>
      <c r="D34" s="46" t="s">
        <v>102</v>
      </c>
      <c r="E34" s="46" t="s">
        <v>20</v>
      </c>
      <c r="F34" s="46">
        <v>1.0</v>
      </c>
      <c r="G34" s="48">
        <v>45000.0</v>
      </c>
      <c r="H34" s="46" t="s">
        <v>123</v>
      </c>
      <c r="I34" s="50" t="s">
        <v>104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53" t="s">
        <v>129</v>
      </c>
      <c r="C35" s="54">
        <v>3.247284962E9</v>
      </c>
      <c r="D35" s="54" t="s">
        <v>106</v>
      </c>
      <c r="E35" s="54" t="s">
        <v>20</v>
      </c>
      <c r="F35" s="55">
        <v>1.0</v>
      </c>
      <c r="G35" s="56">
        <v>45000.0</v>
      </c>
      <c r="H35" s="54" t="s">
        <v>123</v>
      </c>
      <c r="I35" s="50" t="s">
        <v>104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</sheetData>
  <mergeCells count="3">
    <mergeCell ref="B2:I2"/>
    <mergeCell ref="K2:O2"/>
    <mergeCell ref="B21:I21"/>
  </mergeCells>
  <conditionalFormatting sqref="I23:I35">
    <cfRule type="containsText" dxfId="0" priority="1" operator="containsText" text="Si">
      <formula>NOT(ISERROR(SEARCH(("Si"),(I23))))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7.25"/>
    <col customWidth="1" min="3" max="3" width="17.13"/>
  </cols>
  <sheetData>
    <row r="1">
      <c r="A1" s="57" t="s">
        <v>130</v>
      </c>
      <c r="E1" s="58"/>
    </row>
    <row r="2">
      <c r="A2" s="59" t="s">
        <v>131</v>
      </c>
      <c r="B2" s="60"/>
      <c r="C2" s="60"/>
      <c r="D2" s="60"/>
      <c r="E2" s="60"/>
      <c r="F2" s="60"/>
      <c r="G2" s="61"/>
    </row>
    <row r="3">
      <c r="A3" s="62"/>
      <c r="B3" s="59" t="s">
        <v>132</v>
      </c>
      <c r="C3" s="61"/>
      <c r="D3" s="59" t="s">
        <v>133</v>
      </c>
      <c r="E3" s="61"/>
      <c r="F3" s="63"/>
      <c r="G3" s="63"/>
    </row>
    <row r="4">
      <c r="A4" s="62" t="s">
        <v>134</v>
      </c>
      <c r="B4" s="64" t="s">
        <v>135</v>
      </c>
      <c r="C4" s="64" t="s">
        <v>136</v>
      </c>
      <c r="D4" s="64" t="s">
        <v>135</v>
      </c>
      <c r="E4" s="64" t="s">
        <v>136</v>
      </c>
      <c r="F4" s="62" t="s">
        <v>137</v>
      </c>
      <c r="G4" s="62" t="s">
        <v>138</v>
      </c>
    </row>
    <row r="5">
      <c r="A5" s="64" t="s">
        <v>139</v>
      </c>
      <c r="B5" s="64" t="s">
        <v>140</v>
      </c>
      <c r="C5" s="64">
        <v>55000.0</v>
      </c>
      <c r="D5" s="62"/>
      <c r="E5" s="63"/>
      <c r="F5" s="57" t="s">
        <v>141</v>
      </c>
      <c r="G5" s="62"/>
    </row>
    <row r="6">
      <c r="A6" s="65" t="s">
        <v>142</v>
      </c>
      <c r="B6" s="66">
        <v>32000.0</v>
      </c>
      <c r="C6" s="64">
        <v>50000.0</v>
      </c>
      <c r="D6" s="64">
        <v>36000.0</v>
      </c>
      <c r="E6" s="66">
        <v>55000.0</v>
      </c>
      <c r="F6" s="64" t="s">
        <v>143</v>
      </c>
      <c r="G6" s="62"/>
      <c r="H6" s="58" t="s">
        <v>144</v>
      </c>
    </row>
    <row r="7">
      <c r="A7" s="62" t="s">
        <v>145</v>
      </c>
      <c r="B7" s="64">
        <v>30000.0</v>
      </c>
      <c r="C7" s="64" t="s">
        <v>140</v>
      </c>
      <c r="D7" s="64">
        <v>35000.0</v>
      </c>
      <c r="E7" s="66" t="s">
        <v>140</v>
      </c>
      <c r="F7" s="62" t="s">
        <v>146</v>
      </c>
      <c r="G7" s="62">
        <v>3.138320567E9</v>
      </c>
      <c r="H7" s="58" t="s">
        <v>147</v>
      </c>
    </row>
    <row r="8">
      <c r="A8" s="64" t="s">
        <v>148</v>
      </c>
      <c r="B8" s="64"/>
      <c r="C8" s="64">
        <v>42000.0</v>
      </c>
      <c r="D8" s="64"/>
      <c r="E8" s="66">
        <v>45000.0</v>
      </c>
      <c r="F8" s="64" t="s">
        <v>149</v>
      </c>
      <c r="G8" s="62"/>
      <c r="H8" s="58"/>
    </row>
    <row r="9">
      <c r="A9" s="58"/>
      <c r="B9" s="57"/>
      <c r="C9" s="57"/>
      <c r="D9" s="57"/>
      <c r="E9" s="67"/>
      <c r="F9" s="58"/>
      <c r="G9" s="58"/>
    </row>
    <row r="10">
      <c r="C10" s="58" t="s">
        <v>150</v>
      </c>
    </row>
    <row r="11">
      <c r="A11" s="58" t="s">
        <v>134</v>
      </c>
      <c r="B11" s="58" t="s">
        <v>151</v>
      </c>
      <c r="C11" s="58" t="s">
        <v>152</v>
      </c>
      <c r="D11" s="58" t="s">
        <v>153</v>
      </c>
      <c r="E11" s="58" t="s">
        <v>137</v>
      </c>
      <c r="F11" s="58" t="s">
        <v>138</v>
      </c>
    </row>
    <row r="12">
      <c r="A12" s="58" t="s">
        <v>154</v>
      </c>
      <c r="C12" s="58">
        <v>8000.0</v>
      </c>
      <c r="D12" s="57">
        <v>6.0</v>
      </c>
      <c r="E12" s="58" t="s">
        <v>155</v>
      </c>
      <c r="F12" s="58">
        <v>3.223792995E9</v>
      </c>
    </row>
    <row r="13">
      <c r="E13" s="58"/>
    </row>
    <row r="14">
      <c r="C14" s="58" t="s">
        <v>156</v>
      </c>
    </row>
    <row r="15">
      <c r="A15" s="58" t="s">
        <v>134</v>
      </c>
      <c r="B15" s="58" t="s">
        <v>151</v>
      </c>
      <c r="C15" s="58" t="s">
        <v>152</v>
      </c>
      <c r="D15" s="58" t="s">
        <v>153</v>
      </c>
      <c r="E15" s="58" t="s">
        <v>137</v>
      </c>
      <c r="F15" s="58" t="s">
        <v>138</v>
      </c>
    </row>
    <row r="16">
      <c r="A16" s="58" t="s">
        <v>157</v>
      </c>
      <c r="C16" s="58"/>
      <c r="D16" s="58">
        <v>6.0</v>
      </c>
      <c r="E16" s="58" t="s">
        <v>158</v>
      </c>
      <c r="F16" s="58">
        <v>3.228221997E9</v>
      </c>
    </row>
    <row r="17">
      <c r="A17" s="58" t="s">
        <v>145</v>
      </c>
      <c r="C17" s="58"/>
      <c r="E17" s="58" t="s">
        <v>146</v>
      </c>
      <c r="F17" s="58">
        <v>3.138320567E9</v>
      </c>
      <c r="G17" s="58" t="s">
        <v>159</v>
      </c>
    </row>
    <row r="18">
      <c r="A18" s="68" t="s">
        <v>160</v>
      </c>
      <c r="C18" s="57">
        <v>22000.0</v>
      </c>
      <c r="D18" s="58">
        <v>12.0</v>
      </c>
      <c r="E18" s="57" t="s">
        <v>141</v>
      </c>
      <c r="F18" s="57">
        <v>3.18806798E9</v>
      </c>
      <c r="G18" s="58" t="s">
        <v>161</v>
      </c>
    </row>
    <row r="19">
      <c r="C19" s="58"/>
    </row>
    <row r="20">
      <c r="C20" s="58" t="s">
        <v>162</v>
      </c>
    </row>
    <row r="21">
      <c r="A21" s="58" t="s">
        <v>134</v>
      </c>
      <c r="B21" s="58" t="s">
        <v>151</v>
      </c>
      <c r="C21" s="58" t="s">
        <v>152</v>
      </c>
      <c r="D21" s="58" t="s">
        <v>153</v>
      </c>
      <c r="E21" s="58" t="s">
        <v>137</v>
      </c>
      <c r="F21" s="58" t="s">
        <v>138</v>
      </c>
    </row>
    <row r="22">
      <c r="A22" s="58" t="s">
        <v>163</v>
      </c>
      <c r="C22" s="58">
        <v>8000.0</v>
      </c>
      <c r="D22" s="58">
        <v>25.0</v>
      </c>
      <c r="E22" s="58" t="s">
        <v>164</v>
      </c>
      <c r="F22" s="58">
        <v>3.20871704E9</v>
      </c>
    </row>
    <row r="23">
      <c r="A23" s="58" t="s">
        <v>165</v>
      </c>
      <c r="C23" s="58">
        <v>3500.0</v>
      </c>
      <c r="D23" s="58">
        <v>25.0</v>
      </c>
      <c r="E23" s="58" t="s">
        <v>166</v>
      </c>
      <c r="F23" s="58"/>
    </row>
  </sheetData>
  <mergeCells count="4">
    <mergeCell ref="A1:D1"/>
    <mergeCell ref="A2:G2"/>
    <mergeCell ref="B3:C3"/>
    <mergeCell ref="D3:E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2.0"/>
    <col customWidth="1" min="3" max="4" width="9.63"/>
    <col customWidth="1" min="5" max="5" width="13.88"/>
    <col customWidth="1" min="6" max="6" width="8.5"/>
    <col customWidth="1" min="7" max="8" width="11.88"/>
    <col customWidth="1" min="9" max="10" width="9.5"/>
    <col customWidth="1" min="11" max="11" width="3.63"/>
    <col customWidth="1" min="12" max="15" width="9.25"/>
  </cols>
  <sheetData>
    <row r="1" ht="15.75" customHeight="1">
      <c r="A1" s="69"/>
      <c r="B1" s="69" t="s">
        <v>167</v>
      </c>
      <c r="C1" s="70"/>
      <c r="D1" s="70">
        <f>SUM(D3:D31)</f>
        <v>230000</v>
      </c>
      <c r="E1" s="69" t="s">
        <v>168</v>
      </c>
      <c r="F1" s="69">
        <f>COUNTA(F3:F31)</f>
        <v>23</v>
      </c>
      <c r="G1" s="70">
        <f>COUNTIF(G3:G27,TRUE)*10000</f>
        <v>230000</v>
      </c>
      <c r="H1" s="69">
        <f>COUNTIF(H3:H27,FALSE)</f>
        <v>2</v>
      </c>
      <c r="J1" s="70">
        <f>SUM(J3:J32)</f>
        <v>34000</v>
      </c>
    </row>
    <row r="2" ht="15.75" customHeight="1">
      <c r="A2" s="69"/>
      <c r="B2" s="69" t="s">
        <v>1</v>
      </c>
      <c r="C2" s="70"/>
      <c r="D2" s="70" t="s">
        <v>86</v>
      </c>
      <c r="E2" s="69" t="s">
        <v>169</v>
      </c>
      <c r="F2" s="69" t="s">
        <v>170</v>
      </c>
      <c r="G2" s="69" t="s">
        <v>171</v>
      </c>
      <c r="H2" s="69" t="s">
        <v>172</v>
      </c>
      <c r="I2" s="69" t="s">
        <v>86</v>
      </c>
      <c r="J2" s="69" t="s">
        <v>88</v>
      </c>
      <c r="L2" s="71" t="s">
        <v>173</v>
      </c>
    </row>
    <row r="3" ht="15.75" customHeight="1">
      <c r="A3" s="72">
        <v>1.0</v>
      </c>
      <c r="B3" s="73" t="s">
        <v>72</v>
      </c>
      <c r="C3" s="74" t="s">
        <v>11</v>
      </c>
      <c r="D3" s="74">
        <v>10000.0</v>
      </c>
      <c r="E3" s="72" t="s">
        <v>174</v>
      </c>
      <c r="F3" s="72" t="s">
        <v>175</v>
      </c>
      <c r="G3" s="58" t="b">
        <v>1</v>
      </c>
      <c r="H3" s="58" t="b">
        <v>1</v>
      </c>
      <c r="I3" s="74">
        <v>9000.0</v>
      </c>
      <c r="J3" s="74">
        <f t="shared" ref="J3:J25" si="1">D3-I3</f>
        <v>1000</v>
      </c>
      <c r="L3" s="75" t="s">
        <v>176</v>
      </c>
      <c r="M3" s="75">
        <f>COUNTIF(GORRA!$F$26:$F$31,"negro")</f>
        <v>0</v>
      </c>
      <c r="N3" s="76" t="s">
        <v>177</v>
      </c>
      <c r="O3" s="76">
        <f>COUNTIF(GORRA!$F$26:$F$31,"azul")</f>
        <v>0</v>
      </c>
    </row>
    <row r="4" ht="15.75" customHeight="1">
      <c r="A4" s="72">
        <v>2.0</v>
      </c>
      <c r="B4" s="73" t="s">
        <v>115</v>
      </c>
      <c r="C4" s="74" t="s">
        <v>11</v>
      </c>
      <c r="D4" s="74">
        <v>10000.0</v>
      </c>
      <c r="E4" s="72" t="s">
        <v>178</v>
      </c>
      <c r="F4" s="72" t="s">
        <v>179</v>
      </c>
      <c r="G4" s="58" t="b">
        <v>1</v>
      </c>
      <c r="H4" s="58" t="b">
        <v>1</v>
      </c>
      <c r="I4" s="74">
        <v>9000.0</v>
      </c>
      <c r="J4" s="74">
        <f t="shared" si="1"/>
        <v>1000</v>
      </c>
    </row>
    <row r="5" ht="15.75" customHeight="1">
      <c r="A5" s="72">
        <v>3.0</v>
      </c>
      <c r="B5" s="73" t="s">
        <v>16</v>
      </c>
      <c r="C5" s="74" t="s">
        <v>11</v>
      </c>
      <c r="D5" s="74">
        <v>10000.0</v>
      </c>
      <c r="E5" s="72" t="s">
        <v>180</v>
      </c>
      <c r="F5" s="72" t="s">
        <v>179</v>
      </c>
      <c r="G5" s="58" t="b">
        <v>1</v>
      </c>
      <c r="H5" s="58" t="b">
        <v>1</v>
      </c>
      <c r="I5" s="74">
        <v>9000.0</v>
      </c>
      <c r="J5" s="74">
        <f t="shared" si="1"/>
        <v>1000</v>
      </c>
    </row>
    <row r="6" ht="15.75" customHeight="1">
      <c r="A6" s="72">
        <v>4.0</v>
      </c>
      <c r="B6" s="73" t="s">
        <v>59</v>
      </c>
      <c r="C6" s="74" t="s">
        <v>11</v>
      </c>
      <c r="D6" s="74">
        <v>10000.0</v>
      </c>
      <c r="E6" s="72" t="s">
        <v>174</v>
      </c>
      <c r="F6" s="72" t="s">
        <v>175</v>
      </c>
      <c r="G6" s="58" t="b">
        <v>1</v>
      </c>
      <c r="H6" s="58" t="b">
        <v>1</v>
      </c>
      <c r="I6" s="74">
        <v>9000.0</v>
      </c>
      <c r="J6" s="74">
        <f t="shared" si="1"/>
        <v>1000</v>
      </c>
    </row>
    <row r="7" ht="15.75" customHeight="1">
      <c r="A7" s="72">
        <v>5.0</v>
      </c>
      <c r="B7" s="73" t="s">
        <v>34</v>
      </c>
      <c r="C7" s="74" t="s">
        <v>11</v>
      </c>
      <c r="D7" s="74">
        <v>10000.0</v>
      </c>
      <c r="E7" s="72" t="s">
        <v>174</v>
      </c>
      <c r="F7" s="72" t="s">
        <v>179</v>
      </c>
      <c r="G7" s="58" t="b">
        <v>1</v>
      </c>
      <c r="H7" s="58" t="b">
        <v>1</v>
      </c>
      <c r="I7" s="74">
        <v>9000.0</v>
      </c>
      <c r="J7" s="74">
        <f t="shared" si="1"/>
        <v>1000</v>
      </c>
    </row>
    <row r="8" ht="15.75" customHeight="1">
      <c r="A8" s="72">
        <v>6.0</v>
      </c>
      <c r="B8" s="73" t="s">
        <v>8</v>
      </c>
      <c r="C8" s="74" t="s">
        <v>11</v>
      </c>
      <c r="D8" s="74">
        <v>10000.0</v>
      </c>
      <c r="E8" s="72" t="s">
        <v>174</v>
      </c>
      <c r="F8" s="72" t="s">
        <v>175</v>
      </c>
      <c r="G8" s="58" t="b">
        <v>1</v>
      </c>
      <c r="H8" s="58" t="b">
        <v>1</v>
      </c>
      <c r="I8" s="74">
        <v>9000.0</v>
      </c>
      <c r="J8" s="74">
        <f t="shared" si="1"/>
        <v>1000</v>
      </c>
    </row>
    <row r="9" ht="15.75" customHeight="1">
      <c r="A9" s="72">
        <v>7.0</v>
      </c>
      <c r="B9" s="73" t="s">
        <v>12</v>
      </c>
      <c r="C9" s="74" t="s">
        <v>11</v>
      </c>
      <c r="D9" s="74">
        <v>10000.0</v>
      </c>
      <c r="E9" s="72" t="s">
        <v>180</v>
      </c>
      <c r="F9" s="72" t="s">
        <v>175</v>
      </c>
      <c r="G9" s="58" t="b">
        <v>1</v>
      </c>
      <c r="H9" s="58" t="b">
        <v>1</v>
      </c>
      <c r="I9" s="74">
        <v>9000.0</v>
      </c>
      <c r="J9" s="74">
        <f t="shared" si="1"/>
        <v>1000</v>
      </c>
    </row>
    <row r="10" ht="15.75" customHeight="1">
      <c r="A10" s="72">
        <v>8.0</v>
      </c>
      <c r="B10" s="73" t="s">
        <v>181</v>
      </c>
      <c r="C10" s="74" t="s">
        <v>11</v>
      </c>
      <c r="D10" s="74">
        <v>10000.0</v>
      </c>
      <c r="E10" s="72" t="s">
        <v>174</v>
      </c>
      <c r="F10" s="72" t="s">
        <v>179</v>
      </c>
      <c r="G10" s="58" t="b">
        <v>1</v>
      </c>
      <c r="H10" s="58" t="b">
        <v>1</v>
      </c>
      <c r="I10" s="74">
        <v>9000.0</v>
      </c>
      <c r="J10" s="74">
        <f t="shared" si="1"/>
        <v>1000</v>
      </c>
    </row>
    <row r="11" ht="15.75" customHeight="1">
      <c r="A11" s="72">
        <v>9.0</v>
      </c>
      <c r="B11" s="73" t="s">
        <v>182</v>
      </c>
      <c r="C11" s="74" t="s">
        <v>11</v>
      </c>
      <c r="D11" s="74">
        <v>10000.0</v>
      </c>
      <c r="E11" s="72" t="s">
        <v>174</v>
      </c>
      <c r="F11" s="72" t="s">
        <v>175</v>
      </c>
      <c r="G11" s="58" t="b">
        <v>1</v>
      </c>
      <c r="H11" s="58" t="b">
        <v>0</v>
      </c>
      <c r="I11" s="74">
        <v>9000.0</v>
      </c>
      <c r="J11" s="74">
        <f t="shared" si="1"/>
        <v>1000</v>
      </c>
    </row>
    <row r="12" ht="15.75" customHeight="1">
      <c r="A12" s="72">
        <v>10.0</v>
      </c>
      <c r="B12" s="73" t="s">
        <v>183</v>
      </c>
      <c r="C12" s="74" t="s">
        <v>184</v>
      </c>
      <c r="D12" s="74">
        <v>10000.0</v>
      </c>
      <c r="E12" s="72" t="s">
        <v>174</v>
      </c>
      <c r="F12" s="72" t="s">
        <v>175</v>
      </c>
      <c r="G12" s="58" t="b">
        <v>1</v>
      </c>
      <c r="H12" s="58" t="b">
        <v>1</v>
      </c>
      <c r="I12" s="74">
        <v>9000.0</v>
      </c>
      <c r="J12" s="74">
        <f t="shared" si="1"/>
        <v>1000</v>
      </c>
    </row>
    <row r="13" ht="15.75" customHeight="1">
      <c r="A13" s="72">
        <v>11.0</v>
      </c>
      <c r="B13" s="73" t="s">
        <v>185</v>
      </c>
      <c r="C13" s="74" t="s">
        <v>11</v>
      </c>
      <c r="D13" s="74">
        <v>10000.0</v>
      </c>
      <c r="E13" s="72" t="s">
        <v>174</v>
      </c>
      <c r="F13" s="72" t="s">
        <v>175</v>
      </c>
      <c r="G13" s="58" t="b">
        <v>1</v>
      </c>
      <c r="H13" s="58" t="b">
        <v>0</v>
      </c>
      <c r="I13" s="74">
        <v>9000.0</v>
      </c>
      <c r="J13" s="74">
        <f t="shared" si="1"/>
        <v>1000</v>
      </c>
    </row>
    <row r="14" ht="15.75" customHeight="1">
      <c r="A14" s="72">
        <v>12.0</v>
      </c>
      <c r="B14" s="73" t="s">
        <v>186</v>
      </c>
      <c r="C14" s="74" t="s">
        <v>11</v>
      </c>
      <c r="D14" s="74">
        <v>10000.0</v>
      </c>
      <c r="E14" s="72" t="s">
        <v>174</v>
      </c>
      <c r="F14" s="72" t="s">
        <v>179</v>
      </c>
      <c r="G14" s="58" t="b">
        <v>1</v>
      </c>
      <c r="H14" s="58" t="b">
        <v>1</v>
      </c>
      <c r="I14" s="74">
        <v>9000.0</v>
      </c>
      <c r="J14" s="74">
        <f t="shared" si="1"/>
        <v>1000</v>
      </c>
    </row>
    <row r="15" ht="15.75" customHeight="1">
      <c r="A15" s="72">
        <v>13.0</v>
      </c>
      <c r="B15" s="73" t="s">
        <v>31</v>
      </c>
      <c r="C15" s="74" t="s">
        <v>11</v>
      </c>
      <c r="D15" s="74">
        <v>10000.0</v>
      </c>
      <c r="E15" s="72" t="s">
        <v>174</v>
      </c>
      <c r="F15" s="72" t="s">
        <v>179</v>
      </c>
      <c r="G15" s="58" t="b">
        <v>1</v>
      </c>
      <c r="H15" s="58" t="b">
        <v>1</v>
      </c>
      <c r="I15" s="74">
        <v>8000.0</v>
      </c>
      <c r="J15" s="74">
        <f t="shared" si="1"/>
        <v>2000</v>
      </c>
    </row>
    <row r="16" ht="15.75" customHeight="1">
      <c r="A16" s="72">
        <v>14.0</v>
      </c>
      <c r="B16" s="73" t="s">
        <v>74</v>
      </c>
      <c r="C16" s="74" t="s">
        <v>11</v>
      </c>
      <c r="D16" s="74">
        <v>10000.0</v>
      </c>
      <c r="E16" s="72" t="s">
        <v>174</v>
      </c>
      <c r="F16" s="72" t="s">
        <v>175</v>
      </c>
      <c r="G16" s="58" t="b">
        <v>1</v>
      </c>
      <c r="H16" s="58" t="b">
        <v>1</v>
      </c>
      <c r="I16" s="74">
        <v>8000.0</v>
      </c>
      <c r="J16" s="74">
        <f t="shared" si="1"/>
        <v>2000</v>
      </c>
    </row>
    <row r="17" ht="15.75" customHeight="1">
      <c r="A17" s="72">
        <v>15.0</v>
      </c>
      <c r="B17" s="73" t="s">
        <v>89</v>
      </c>
      <c r="C17" s="74" t="s">
        <v>43</v>
      </c>
      <c r="D17" s="74">
        <v>10000.0</v>
      </c>
      <c r="E17" s="72" t="s">
        <v>174</v>
      </c>
      <c r="F17" s="72" t="s">
        <v>175</v>
      </c>
      <c r="G17" s="58" t="b">
        <v>1</v>
      </c>
      <c r="H17" s="58" t="b">
        <v>1</v>
      </c>
      <c r="I17" s="74">
        <v>8000.0</v>
      </c>
      <c r="J17" s="74">
        <f t="shared" si="1"/>
        <v>2000</v>
      </c>
    </row>
    <row r="18" ht="15.75" customHeight="1">
      <c r="A18" s="72">
        <v>16.0</v>
      </c>
      <c r="B18" s="73" t="s">
        <v>187</v>
      </c>
      <c r="C18" s="74" t="s">
        <v>11</v>
      </c>
      <c r="D18" s="74">
        <v>10000.0</v>
      </c>
      <c r="E18" s="72" t="s">
        <v>174</v>
      </c>
      <c r="F18" s="72" t="s">
        <v>175</v>
      </c>
      <c r="G18" s="58" t="b">
        <v>1</v>
      </c>
      <c r="H18" s="58" t="b">
        <v>1</v>
      </c>
      <c r="I18" s="74">
        <v>8000.0</v>
      </c>
      <c r="J18" s="74">
        <f t="shared" si="1"/>
        <v>2000</v>
      </c>
    </row>
    <row r="19" ht="15.75" customHeight="1">
      <c r="A19" s="72">
        <v>17.0</v>
      </c>
      <c r="B19" s="73" t="s">
        <v>188</v>
      </c>
      <c r="C19" s="74" t="s">
        <v>11</v>
      </c>
      <c r="D19" s="74">
        <v>10000.0</v>
      </c>
      <c r="E19" s="72" t="s">
        <v>189</v>
      </c>
      <c r="F19" s="72" t="s">
        <v>175</v>
      </c>
      <c r="G19" s="58" t="b">
        <v>1</v>
      </c>
      <c r="H19" s="58" t="b">
        <v>1</v>
      </c>
      <c r="I19" s="74">
        <v>8000.0</v>
      </c>
      <c r="J19" s="74">
        <f t="shared" si="1"/>
        <v>2000</v>
      </c>
    </row>
    <row r="20" ht="15.75" customHeight="1">
      <c r="A20" s="72">
        <v>18.0</v>
      </c>
      <c r="B20" s="73" t="s">
        <v>23</v>
      </c>
      <c r="C20" s="74" t="s">
        <v>11</v>
      </c>
      <c r="D20" s="74">
        <v>10000.0</v>
      </c>
      <c r="E20" s="72" t="s">
        <v>189</v>
      </c>
      <c r="F20" s="72" t="s">
        <v>175</v>
      </c>
      <c r="G20" s="58" t="b">
        <v>1</v>
      </c>
      <c r="H20" s="58" t="b">
        <v>1</v>
      </c>
      <c r="I20" s="74">
        <v>8000.0</v>
      </c>
      <c r="J20" s="74">
        <f t="shared" si="1"/>
        <v>2000</v>
      </c>
    </row>
    <row r="21" ht="15.75" customHeight="1">
      <c r="A21" s="72">
        <v>19.0</v>
      </c>
      <c r="B21" s="73" t="s">
        <v>190</v>
      </c>
      <c r="C21" s="74" t="s">
        <v>11</v>
      </c>
      <c r="D21" s="74">
        <v>10000.0</v>
      </c>
      <c r="E21" s="72" t="s">
        <v>180</v>
      </c>
      <c r="F21" s="72" t="s">
        <v>175</v>
      </c>
      <c r="G21" s="58" t="b">
        <v>1</v>
      </c>
      <c r="H21" s="58" t="b">
        <v>1</v>
      </c>
      <c r="I21" s="74">
        <v>8000.0</v>
      </c>
      <c r="J21" s="74">
        <f t="shared" si="1"/>
        <v>2000</v>
      </c>
    </row>
    <row r="22" ht="15.75" customHeight="1">
      <c r="A22" s="72">
        <v>20.0</v>
      </c>
      <c r="B22" s="73" t="s">
        <v>191</v>
      </c>
      <c r="C22" s="74" t="s">
        <v>11</v>
      </c>
      <c r="D22" s="74">
        <v>10000.0</v>
      </c>
      <c r="E22" s="72" t="s">
        <v>189</v>
      </c>
      <c r="F22" s="72" t="s">
        <v>175</v>
      </c>
      <c r="G22" s="58" t="b">
        <v>1</v>
      </c>
      <c r="H22" s="58" t="b">
        <v>1</v>
      </c>
      <c r="I22" s="74">
        <v>8000.0</v>
      </c>
      <c r="J22" s="74">
        <f t="shared" si="1"/>
        <v>2000</v>
      </c>
    </row>
    <row r="23" ht="15.75" customHeight="1">
      <c r="A23" s="72">
        <v>21.0</v>
      </c>
      <c r="B23" s="73" t="s">
        <v>192</v>
      </c>
      <c r="C23" s="74" t="s">
        <v>11</v>
      </c>
      <c r="D23" s="74">
        <v>10000.0</v>
      </c>
      <c r="E23" s="72" t="s">
        <v>174</v>
      </c>
      <c r="F23" s="72" t="s">
        <v>175</v>
      </c>
      <c r="G23" s="58" t="b">
        <v>1</v>
      </c>
      <c r="H23" s="58" t="b">
        <v>1</v>
      </c>
      <c r="I23" s="74">
        <v>8000.0</v>
      </c>
      <c r="J23" s="74">
        <f t="shared" si="1"/>
        <v>2000</v>
      </c>
    </row>
    <row r="24" ht="15.75" customHeight="1">
      <c r="A24" s="72">
        <v>22.0</v>
      </c>
      <c r="B24" s="73" t="s">
        <v>192</v>
      </c>
      <c r="C24" s="74" t="s">
        <v>11</v>
      </c>
      <c r="D24" s="74">
        <v>10000.0</v>
      </c>
      <c r="E24" s="72" t="s">
        <v>174</v>
      </c>
      <c r="F24" s="72" t="s">
        <v>175</v>
      </c>
      <c r="G24" s="58" t="b">
        <v>1</v>
      </c>
      <c r="H24" s="58" t="b">
        <v>1</v>
      </c>
      <c r="I24" s="74">
        <v>8000.0</v>
      </c>
      <c r="J24" s="74">
        <f t="shared" si="1"/>
        <v>2000</v>
      </c>
    </row>
    <row r="25" ht="15.75" customHeight="1">
      <c r="A25" s="72">
        <v>23.0</v>
      </c>
      <c r="B25" s="73" t="s">
        <v>42</v>
      </c>
      <c r="C25" s="74" t="s">
        <v>43</v>
      </c>
      <c r="D25" s="74">
        <v>10000.0</v>
      </c>
      <c r="E25" s="72" t="s">
        <v>189</v>
      </c>
      <c r="F25" s="72" t="s">
        <v>175</v>
      </c>
      <c r="G25" s="58" t="b">
        <v>1</v>
      </c>
      <c r="H25" s="58" t="b">
        <v>1</v>
      </c>
      <c r="I25" s="74">
        <v>8000.0</v>
      </c>
      <c r="J25" s="74">
        <f t="shared" si="1"/>
        <v>2000</v>
      </c>
    </row>
    <row r="26" ht="15.75" customHeight="1">
      <c r="A26" s="72">
        <v>24.0</v>
      </c>
      <c r="B26" s="73"/>
      <c r="C26" s="74"/>
      <c r="D26" s="74"/>
      <c r="E26" s="72"/>
      <c r="F26" s="72"/>
    </row>
    <row r="27" ht="15.75" customHeight="1">
      <c r="A27" s="72">
        <v>25.0</v>
      </c>
      <c r="B27" s="73"/>
      <c r="C27" s="74"/>
      <c r="D27" s="74"/>
      <c r="E27" s="72"/>
      <c r="F27" s="72"/>
    </row>
    <row r="28" ht="15.75" customHeight="1">
      <c r="A28" s="72">
        <v>26.0</v>
      </c>
      <c r="B28" s="73"/>
      <c r="C28" s="74"/>
      <c r="D28" s="74"/>
      <c r="E28" s="72"/>
      <c r="F28" s="72"/>
    </row>
    <row r="29" ht="15.75" customHeight="1">
      <c r="A29" s="72">
        <v>27.0</v>
      </c>
      <c r="B29" s="73"/>
      <c r="C29" s="74"/>
      <c r="D29" s="74"/>
      <c r="E29" s="72"/>
      <c r="F29" s="72"/>
    </row>
    <row r="30" ht="15.75" customHeight="1">
      <c r="A30" s="72">
        <v>28.0</v>
      </c>
      <c r="B30" s="73"/>
      <c r="C30" s="74"/>
      <c r="D30" s="74"/>
      <c r="E30" s="72"/>
      <c r="F30" s="72"/>
    </row>
    <row r="31" ht="15.75" customHeight="1">
      <c r="A31" s="72">
        <v>29.0</v>
      </c>
      <c r="B31" s="73"/>
      <c r="C31" s="74"/>
      <c r="D31" s="74"/>
      <c r="E31" s="72"/>
      <c r="F31" s="72"/>
    </row>
    <row r="32" ht="15.75" customHeight="1">
      <c r="A32" s="72">
        <v>30.0</v>
      </c>
      <c r="B32" s="72"/>
      <c r="C32" s="74"/>
      <c r="D32" s="74"/>
      <c r="E32" s="72"/>
      <c r="F32" s="72"/>
    </row>
    <row r="33" ht="15.75" customHeight="1">
      <c r="A33" s="72"/>
      <c r="B33" s="72"/>
      <c r="C33" s="74"/>
      <c r="D33" s="74"/>
      <c r="E33" s="72"/>
      <c r="F33" s="72"/>
    </row>
    <row r="34" ht="15.75" customHeight="1">
      <c r="A34" s="72"/>
      <c r="B34" s="72"/>
      <c r="C34" s="74"/>
      <c r="D34" s="74"/>
      <c r="E34" s="72"/>
      <c r="F34" s="72"/>
    </row>
    <row r="35" ht="15.75" customHeight="1">
      <c r="A35" s="72"/>
      <c r="B35" s="72"/>
      <c r="C35" s="74"/>
      <c r="D35" s="74"/>
      <c r="E35" s="72"/>
      <c r="F35" s="72"/>
    </row>
    <row r="36" ht="15.75" customHeight="1">
      <c r="A36" s="72"/>
      <c r="B36" s="72"/>
      <c r="C36" s="74"/>
      <c r="D36" s="74"/>
      <c r="E36" s="72"/>
      <c r="F36" s="72"/>
    </row>
    <row r="37" ht="15.75" customHeight="1">
      <c r="A37" s="72"/>
      <c r="B37" s="72"/>
      <c r="C37" s="74"/>
      <c r="D37" s="74"/>
      <c r="E37" s="72"/>
      <c r="F37" s="72"/>
    </row>
    <row r="38" ht="15.75" customHeight="1">
      <c r="A38" s="72"/>
      <c r="B38" s="72"/>
      <c r="C38" s="74"/>
      <c r="D38" s="74"/>
      <c r="E38" s="72"/>
      <c r="F38" s="72"/>
    </row>
    <row r="39" ht="15.75" customHeight="1">
      <c r="A39" s="72"/>
      <c r="B39" s="72"/>
      <c r="C39" s="74"/>
      <c r="D39" s="74"/>
      <c r="E39" s="72"/>
      <c r="F39" s="72"/>
    </row>
    <row r="40" ht="15.75" customHeight="1">
      <c r="A40" s="72"/>
      <c r="B40" s="72"/>
      <c r="C40" s="74"/>
      <c r="D40" s="74"/>
      <c r="E40" s="72"/>
      <c r="F40" s="72"/>
    </row>
    <row r="41" ht="15.75" customHeight="1">
      <c r="A41" s="72"/>
      <c r="B41" s="72"/>
      <c r="C41" s="74"/>
      <c r="D41" s="74"/>
      <c r="E41" s="72"/>
      <c r="F41" s="72"/>
    </row>
    <row r="42" ht="15.75" customHeight="1">
      <c r="A42" s="72"/>
      <c r="B42" s="72"/>
      <c r="C42" s="74"/>
      <c r="D42" s="74"/>
      <c r="E42" s="72"/>
      <c r="F42" s="72"/>
    </row>
    <row r="43" ht="15.75" customHeight="1">
      <c r="A43" s="72"/>
      <c r="B43" s="72"/>
      <c r="C43" s="74"/>
      <c r="D43" s="74"/>
      <c r="E43" s="72"/>
      <c r="F43" s="72"/>
    </row>
    <row r="44" ht="15.75" customHeight="1">
      <c r="A44" s="72"/>
      <c r="B44" s="72"/>
      <c r="C44" s="74"/>
      <c r="D44" s="74"/>
      <c r="E44" s="72"/>
      <c r="F44" s="72"/>
    </row>
    <row r="45" ht="15.75" customHeight="1">
      <c r="A45" s="72"/>
      <c r="B45" s="72"/>
      <c r="C45" s="74"/>
      <c r="D45" s="74"/>
      <c r="E45" s="72"/>
      <c r="F45" s="72"/>
    </row>
    <row r="46" ht="15.75" customHeight="1">
      <c r="A46" s="72"/>
      <c r="B46" s="72"/>
      <c r="C46" s="74"/>
      <c r="D46" s="74"/>
      <c r="E46" s="72"/>
      <c r="F46" s="72"/>
    </row>
    <row r="47" ht="15.75" customHeight="1">
      <c r="A47" s="72"/>
      <c r="B47" s="72"/>
      <c r="C47" s="74"/>
      <c r="D47" s="74"/>
      <c r="E47" s="72"/>
      <c r="F47" s="72"/>
    </row>
    <row r="48" ht="15.75" customHeight="1">
      <c r="A48" s="72"/>
      <c r="B48" s="72"/>
      <c r="C48" s="74"/>
      <c r="D48" s="74"/>
      <c r="E48" s="72"/>
      <c r="F48" s="72"/>
    </row>
    <row r="49" ht="15.75" customHeight="1">
      <c r="A49" s="72"/>
      <c r="B49" s="72"/>
      <c r="C49" s="74"/>
      <c r="D49" s="74"/>
      <c r="E49" s="72"/>
      <c r="F49" s="72"/>
    </row>
    <row r="50" ht="15.75" customHeight="1">
      <c r="A50" s="72"/>
      <c r="B50" s="72"/>
      <c r="C50" s="74"/>
      <c r="D50" s="74"/>
      <c r="E50" s="72"/>
      <c r="F50" s="72"/>
    </row>
    <row r="51" ht="15.75" customHeight="1">
      <c r="A51" s="72"/>
      <c r="B51" s="72"/>
      <c r="C51" s="74"/>
      <c r="D51" s="74"/>
      <c r="E51" s="72"/>
      <c r="F51" s="72"/>
    </row>
    <row r="52" ht="15.75" customHeight="1">
      <c r="A52" s="72"/>
      <c r="B52" s="72"/>
      <c r="C52" s="74"/>
      <c r="D52" s="74"/>
      <c r="E52" s="72"/>
      <c r="F52" s="72"/>
    </row>
    <row r="53" ht="15.75" customHeight="1">
      <c r="A53" s="72"/>
      <c r="B53" s="72"/>
      <c r="C53" s="74"/>
      <c r="D53" s="74"/>
      <c r="E53" s="72"/>
      <c r="F53" s="72"/>
    </row>
    <row r="54" ht="15.75" customHeight="1">
      <c r="A54" s="72"/>
      <c r="B54" s="72"/>
      <c r="C54" s="74"/>
      <c r="D54" s="74"/>
      <c r="E54" s="72"/>
      <c r="F54" s="72"/>
    </row>
    <row r="55" ht="15.75" customHeight="1">
      <c r="A55" s="72"/>
      <c r="B55" s="72"/>
      <c r="C55" s="74"/>
      <c r="D55" s="74"/>
      <c r="E55" s="72"/>
      <c r="F55" s="72"/>
    </row>
    <row r="56" ht="15.75" customHeight="1">
      <c r="A56" s="72"/>
      <c r="B56" s="72"/>
      <c r="C56" s="74"/>
      <c r="D56" s="74"/>
      <c r="E56" s="72"/>
      <c r="F56" s="72"/>
    </row>
    <row r="57" ht="15.75" customHeight="1">
      <c r="A57" s="72"/>
      <c r="B57" s="72"/>
      <c r="C57" s="74"/>
      <c r="D57" s="74"/>
      <c r="E57" s="72"/>
      <c r="F57" s="72"/>
    </row>
    <row r="58" ht="15.75" customHeight="1">
      <c r="A58" s="72"/>
      <c r="B58" s="72"/>
      <c r="C58" s="74"/>
      <c r="D58" s="74"/>
      <c r="E58" s="72"/>
      <c r="F58" s="72"/>
    </row>
    <row r="59" ht="15.75" customHeight="1">
      <c r="A59" s="72"/>
      <c r="B59" s="72"/>
      <c r="C59" s="74"/>
      <c r="D59" s="74"/>
      <c r="E59" s="72"/>
      <c r="F59" s="72"/>
    </row>
    <row r="60" ht="15.75" customHeight="1">
      <c r="A60" s="72"/>
      <c r="B60" s="72"/>
      <c r="C60" s="74"/>
      <c r="D60" s="74"/>
      <c r="E60" s="72"/>
      <c r="F60" s="72"/>
    </row>
    <row r="61" ht="15.75" customHeight="1">
      <c r="A61" s="72"/>
      <c r="B61" s="72"/>
      <c r="C61" s="74"/>
      <c r="D61" s="74"/>
      <c r="E61" s="72"/>
      <c r="F61" s="72"/>
    </row>
    <row r="62" ht="15.75" customHeight="1">
      <c r="A62" s="72"/>
      <c r="B62" s="72"/>
      <c r="C62" s="74"/>
      <c r="D62" s="74"/>
      <c r="E62" s="72"/>
      <c r="F62" s="72"/>
    </row>
    <row r="63" ht="15.75" customHeight="1">
      <c r="A63" s="72"/>
      <c r="B63" s="72"/>
      <c r="C63" s="74"/>
      <c r="D63" s="74"/>
      <c r="E63" s="72"/>
      <c r="F63" s="72"/>
    </row>
    <row r="64" ht="15.75" customHeight="1">
      <c r="A64" s="72"/>
      <c r="B64" s="72"/>
      <c r="C64" s="74"/>
      <c r="D64" s="74"/>
      <c r="E64" s="72"/>
      <c r="F64" s="72"/>
    </row>
    <row r="65" ht="15.75" customHeight="1">
      <c r="A65" s="72"/>
      <c r="B65" s="72"/>
      <c r="C65" s="74"/>
      <c r="D65" s="74"/>
      <c r="E65" s="72"/>
      <c r="F65" s="72"/>
    </row>
    <row r="66" ht="15.75" customHeight="1">
      <c r="A66" s="72"/>
      <c r="B66" s="72"/>
      <c r="C66" s="74"/>
      <c r="D66" s="74"/>
      <c r="E66" s="72"/>
      <c r="F66" s="72"/>
    </row>
    <row r="67" ht="15.75" customHeight="1">
      <c r="A67" s="72"/>
      <c r="B67" s="72"/>
      <c r="C67" s="74"/>
      <c r="D67" s="74"/>
      <c r="E67" s="72"/>
      <c r="F67" s="72"/>
    </row>
    <row r="68" ht="15.75" customHeight="1">
      <c r="A68" s="72"/>
      <c r="B68" s="72"/>
      <c r="C68" s="74"/>
      <c r="D68" s="74"/>
      <c r="E68" s="72"/>
      <c r="F68" s="72"/>
    </row>
    <row r="69" ht="15.75" customHeight="1">
      <c r="A69" s="72"/>
      <c r="B69" s="72"/>
      <c r="C69" s="74"/>
      <c r="D69" s="74"/>
      <c r="E69" s="72"/>
      <c r="F69" s="72"/>
    </row>
    <row r="70" ht="15.75" customHeight="1">
      <c r="A70" s="72"/>
      <c r="B70" s="72"/>
      <c r="C70" s="74"/>
      <c r="D70" s="74"/>
      <c r="E70" s="72"/>
      <c r="F70" s="72"/>
    </row>
    <row r="71" ht="15.75" customHeight="1">
      <c r="A71" s="72"/>
      <c r="B71" s="72"/>
      <c r="C71" s="74"/>
      <c r="D71" s="74"/>
      <c r="E71" s="72"/>
      <c r="F71" s="72"/>
    </row>
    <row r="72" ht="15.75" customHeight="1">
      <c r="A72" s="72"/>
      <c r="B72" s="72"/>
      <c r="C72" s="74"/>
      <c r="D72" s="74"/>
      <c r="E72" s="72"/>
      <c r="F72" s="72"/>
    </row>
    <row r="73" ht="15.75" customHeight="1">
      <c r="A73" s="72"/>
      <c r="B73" s="72"/>
      <c r="C73" s="74"/>
      <c r="D73" s="74"/>
      <c r="E73" s="72"/>
      <c r="F73" s="72"/>
    </row>
    <row r="74" ht="15.75" customHeight="1">
      <c r="A74" s="72"/>
      <c r="B74" s="72"/>
      <c r="C74" s="74"/>
      <c r="D74" s="74"/>
      <c r="E74" s="72"/>
      <c r="F74" s="72"/>
    </row>
    <row r="75" ht="15.75" customHeight="1">
      <c r="A75" s="72"/>
      <c r="B75" s="72"/>
      <c r="C75" s="74"/>
      <c r="D75" s="74"/>
      <c r="E75" s="72"/>
      <c r="F75" s="72"/>
    </row>
    <row r="76" ht="15.75" customHeight="1">
      <c r="A76" s="72"/>
      <c r="B76" s="72"/>
      <c r="C76" s="74"/>
      <c r="D76" s="74"/>
      <c r="E76" s="72"/>
      <c r="F76" s="72"/>
    </row>
    <row r="77" ht="15.75" customHeight="1">
      <c r="A77" s="72"/>
      <c r="B77" s="72"/>
      <c r="C77" s="74"/>
      <c r="D77" s="74"/>
      <c r="E77" s="72"/>
      <c r="F77" s="72"/>
    </row>
    <row r="78" ht="15.75" customHeight="1">
      <c r="A78" s="72"/>
      <c r="B78" s="72"/>
      <c r="C78" s="74"/>
      <c r="D78" s="74"/>
      <c r="E78" s="72"/>
      <c r="F78" s="72"/>
    </row>
    <row r="79" ht="15.75" customHeight="1">
      <c r="A79" s="72"/>
      <c r="B79" s="72"/>
      <c r="C79" s="74"/>
      <c r="D79" s="74"/>
      <c r="E79" s="72"/>
      <c r="F79" s="72"/>
    </row>
    <row r="80" ht="15.75" customHeight="1">
      <c r="A80" s="72"/>
      <c r="B80" s="72"/>
      <c r="C80" s="74"/>
      <c r="D80" s="74"/>
      <c r="E80" s="72"/>
      <c r="F80" s="72"/>
    </row>
    <row r="81" ht="15.75" customHeight="1">
      <c r="A81" s="72"/>
      <c r="B81" s="72"/>
      <c r="C81" s="74"/>
      <c r="D81" s="74"/>
      <c r="E81" s="72"/>
      <c r="F81" s="72"/>
    </row>
    <row r="82" ht="15.75" customHeight="1">
      <c r="A82" s="72"/>
      <c r="B82" s="72"/>
      <c r="C82" s="74"/>
      <c r="D82" s="74"/>
      <c r="E82" s="72"/>
      <c r="F82" s="72"/>
    </row>
    <row r="83" ht="15.75" customHeight="1">
      <c r="A83" s="72"/>
      <c r="B83" s="72"/>
      <c r="C83" s="74"/>
      <c r="D83" s="74"/>
      <c r="E83" s="72"/>
      <c r="F83" s="72"/>
    </row>
    <row r="84" ht="15.75" customHeight="1">
      <c r="A84" s="72"/>
      <c r="B84" s="72"/>
      <c r="C84" s="74"/>
      <c r="D84" s="74"/>
      <c r="E84" s="72"/>
      <c r="F84" s="72"/>
    </row>
    <row r="85" ht="15.75" customHeight="1">
      <c r="A85" s="72"/>
      <c r="B85" s="72"/>
      <c r="C85" s="74"/>
      <c r="D85" s="74"/>
      <c r="E85" s="72"/>
      <c r="F85" s="72"/>
    </row>
    <row r="86" ht="15.75" customHeight="1">
      <c r="A86" s="72"/>
      <c r="B86" s="72"/>
      <c r="C86" s="74"/>
      <c r="D86" s="74"/>
      <c r="E86" s="72"/>
      <c r="F86" s="72"/>
    </row>
    <row r="87" ht="15.75" customHeight="1">
      <c r="A87" s="72"/>
      <c r="B87" s="72"/>
      <c r="C87" s="74"/>
      <c r="D87" s="74"/>
      <c r="E87" s="72"/>
      <c r="F87" s="72"/>
    </row>
    <row r="88" ht="15.75" customHeight="1">
      <c r="A88" s="72"/>
      <c r="B88" s="72"/>
      <c r="C88" s="74"/>
      <c r="D88" s="74"/>
      <c r="E88" s="72"/>
      <c r="F88" s="72"/>
    </row>
    <row r="89" ht="15.75" customHeight="1">
      <c r="A89" s="72"/>
      <c r="B89" s="72"/>
      <c r="C89" s="74"/>
      <c r="D89" s="74"/>
      <c r="E89" s="72"/>
      <c r="F89" s="72"/>
    </row>
    <row r="90" ht="15.75" customHeight="1">
      <c r="A90" s="72"/>
      <c r="B90" s="72"/>
      <c r="C90" s="74"/>
      <c r="D90" s="74"/>
      <c r="E90" s="72"/>
      <c r="F90" s="72"/>
    </row>
    <row r="91" ht="15.75" customHeight="1">
      <c r="A91" s="72"/>
      <c r="B91" s="72"/>
      <c r="C91" s="74"/>
      <c r="D91" s="74"/>
      <c r="E91" s="72"/>
      <c r="F91" s="72"/>
    </row>
    <row r="92" ht="15.75" customHeight="1">
      <c r="A92" s="72"/>
      <c r="B92" s="72"/>
      <c r="C92" s="74"/>
      <c r="D92" s="74"/>
      <c r="E92" s="72"/>
      <c r="F92" s="72"/>
    </row>
    <row r="93" ht="15.75" customHeight="1">
      <c r="A93" s="72"/>
      <c r="B93" s="72"/>
      <c r="C93" s="74"/>
      <c r="D93" s="74"/>
      <c r="E93" s="72"/>
      <c r="F93" s="72"/>
    </row>
    <row r="94" ht="15.75" customHeight="1">
      <c r="A94" s="72"/>
      <c r="B94" s="72"/>
      <c r="C94" s="74"/>
      <c r="D94" s="74"/>
      <c r="E94" s="72"/>
      <c r="F94" s="72"/>
    </row>
    <row r="95" ht="15.75" customHeight="1">
      <c r="A95" s="72"/>
      <c r="B95" s="72"/>
      <c r="C95" s="74"/>
      <c r="D95" s="74"/>
      <c r="E95" s="72"/>
      <c r="F95" s="72"/>
    </row>
    <row r="96" ht="15.75" customHeight="1">
      <c r="A96" s="72"/>
      <c r="B96" s="72"/>
      <c r="C96" s="74"/>
      <c r="D96" s="74"/>
      <c r="E96" s="72"/>
      <c r="F96" s="72"/>
    </row>
    <row r="97" ht="15.75" customHeight="1">
      <c r="A97" s="72"/>
      <c r="B97" s="72"/>
      <c r="C97" s="74"/>
      <c r="D97" s="74"/>
      <c r="E97" s="72"/>
      <c r="F97" s="72"/>
    </row>
    <row r="98" ht="15.75" customHeight="1">
      <c r="A98" s="72"/>
      <c r="B98" s="72"/>
      <c r="C98" s="74"/>
      <c r="D98" s="74"/>
      <c r="E98" s="72"/>
      <c r="F98" s="72"/>
    </row>
    <row r="99" ht="15.75" customHeight="1">
      <c r="A99" s="72"/>
      <c r="B99" s="72"/>
      <c r="C99" s="74"/>
      <c r="D99" s="74"/>
      <c r="E99" s="72"/>
      <c r="F99" s="72"/>
    </row>
    <row r="100" ht="15.75" customHeight="1">
      <c r="A100" s="72"/>
      <c r="B100" s="72"/>
      <c r="C100" s="74"/>
      <c r="D100" s="74"/>
      <c r="E100" s="72"/>
      <c r="F100" s="72"/>
    </row>
    <row r="101" ht="15.75" customHeight="1">
      <c r="A101" s="72"/>
      <c r="B101" s="72"/>
      <c r="C101" s="74"/>
      <c r="D101" s="74"/>
      <c r="E101" s="72"/>
      <c r="F101" s="72"/>
    </row>
    <row r="102" ht="15.75" customHeight="1">
      <c r="A102" s="72"/>
      <c r="B102" s="72"/>
      <c r="C102" s="74"/>
      <c r="D102" s="74"/>
      <c r="E102" s="72"/>
      <c r="F102" s="72"/>
    </row>
    <row r="103" ht="15.75" customHeight="1">
      <c r="A103" s="72"/>
      <c r="B103" s="72"/>
      <c r="C103" s="74"/>
      <c r="D103" s="74"/>
      <c r="E103" s="72"/>
      <c r="F103" s="72"/>
    </row>
    <row r="104" ht="15.75" customHeight="1">
      <c r="A104" s="72"/>
      <c r="B104" s="72"/>
      <c r="C104" s="74"/>
      <c r="D104" s="74"/>
      <c r="E104" s="72"/>
      <c r="F104" s="72"/>
    </row>
    <row r="105" ht="15.75" customHeight="1">
      <c r="A105" s="72"/>
      <c r="B105" s="72"/>
      <c r="C105" s="74"/>
      <c r="D105" s="74"/>
      <c r="E105" s="72"/>
      <c r="F105" s="72"/>
    </row>
    <row r="106" ht="15.75" customHeight="1">
      <c r="A106" s="72"/>
      <c r="B106" s="72"/>
      <c r="C106" s="74"/>
      <c r="D106" s="74"/>
      <c r="E106" s="72"/>
      <c r="F106" s="72"/>
    </row>
    <row r="107" ht="15.75" customHeight="1">
      <c r="A107" s="72"/>
      <c r="B107" s="72"/>
      <c r="C107" s="74"/>
      <c r="D107" s="74"/>
      <c r="E107" s="72"/>
      <c r="F107" s="72"/>
    </row>
    <row r="108" ht="15.75" customHeight="1">
      <c r="A108" s="72"/>
      <c r="B108" s="72"/>
      <c r="C108" s="74"/>
      <c r="D108" s="74"/>
      <c r="E108" s="72"/>
      <c r="F108" s="72"/>
    </row>
    <row r="109" ht="15.75" customHeight="1">
      <c r="A109" s="72"/>
      <c r="B109" s="72"/>
      <c r="C109" s="74"/>
      <c r="D109" s="74"/>
      <c r="E109" s="72"/>
      <c r="F109" s="72"/>
    </row>
    <row r="110" ht="15.75" customHeight="1">
      <c r="A110" s="72"/>
      <c r="B110" s="72"/>
      <c r="C110" s="74"/>
      <c r="D110" s="74"/>
      <c r="E110" s="72"/>
      <c r="F110" s="72"/>
    </row>
    <row r="111" ht="15.75" customHeight="1">
      <c r="A111" s="72"/>
      <c r="B111" s="72"/>
      <c r="C111" s="74"/>
      <c r="D111" s="74"/>
      <c r="E111" s="72"/>
      <c r="F111" s="72"/>
    </row>
    <row r="112" ht="15.75" customHeight="1">
      <c r="A112" s="72"/>
      <c r="B112" s="72"/>
      <c r="C112" s="74"/>
      <c r="D112" s="74"/>
      <c r="E112" s="72"/>
      <c r="F112" s="72"/>
    </row>
    <row r="113" ht="15.75" customHeight="1">
      <c r="A113" s="72"/>
      <c r="B113" s="72"/>
      <c r="C113" s="74"/>
      <c r="D113" s="74"/>
      <c r="E113" s="72"/>
      <c r="F113" s="72"/>
    </row>
    <row r="114" ht="15.75" customHeight="1">
      <c r="A114" s="72"/>
      <c r="B114" s="72"/>
      <c r="C114" s="74"/>
      <c r="D114" s="74"/>
      <c r="E114" s="72"/>
      <c r="F114" s="72"/>
    </row>
    <row r="115" ht="15.75" customHeight="1">
      <c r="A115" s="72"/>
      <c r="B115" s="72"/>
      <c r="C115" s="74"/>
      <c r="D115" s="74"/>
      <c r="E115" s="72"/>
      <c r="F115" s="72"/>
    </row>
    <row r="116" ht="15.75" customHeight="1">
      <c r="A116" s="72"/>
      <c r="B116" s="72"/>
      <c r="C116" s="74"/>
      <c r="D116" s="74"/>
      <c r="E116" s="72"/>
      <c r="F116" s="72"/>
    </row>
    <row r="117" ht="15.75" customHeight="1">
      <c r="A117" s="72"/>
      <c r="B117" s="72"/>
      <c r="C117" s="74"/>
      <c r="D117" s="74"/>
      <c r="E117" s="72"/>
      <c r="F117" s="72"/>
    </row>
    <row r="118" ht="15.75" customHeight="1">
      <c r="A118" s="72"/>
      <c r="B118" s="72"/>
      <c r="C118" s="74"/>
      <c r="D118" s="74"/>
      <c r="E118" s="72"/>
      <c r="F118" s="72"/>
    </row>
    <row r="119" ht="15.75" customHeight="1">
      <c r="A119" s="72"/>
      <c r="B119" s="72"/>
      <c r="C119" s="74"/>
      <c r="D119" s="74"/>
      <c r="E119" s="72"/>
      <c r="F119" s="72"/>
    </row>
    <row r="120" ht="15.75" customHeight="1">
      <c r="A120" s="72"/>
      <c r="B120" s="72"/>
      <c r="C120" s="74"/>
      <c r="D120" s="74"/>
      <c r="E120" s="72"/>
      <c r="F120" s="72"/>
    </row>
    <row r="121" ht="15.75" customHeight="1">
      <c r="A121" s="72"/>
      <c r="B121" s="72"/>
      <c r="C121" s="74"/>
      <c r="D121" s="74"/>
      <c r="E121" s="72"/>
      <c r="F121" s="72"/>
    </row>
    <row r="122" ht="15.75" customHeight="1">
      <c r="A122" s="72"/>
      <c r="B122" s="72"/>
      <c r="C122" s="74"/>
      <c r="D122" s="74"/>
      <c r="E122" s="72"/>
      <c r="F122" s="72"/>
    </row>
    <row r="123" ht="15.75" customHeight="1">
      <c r="A123" s="72"/>
      <c r="B123" s="72"/>
      <c r="C123" s="74"/>
      <c r="D123" s="74"/>
      <c r="E123" s="72"/>
      <c r="F123" s="72"/>
    </row>
    <row r="124" ht="15.75" customHeight="1">
      <c r="A124" s="72"/>
      <c r="B124" s="72"/>
      <c r="C124" s="74"/>
      <c r="D124" s="74"/>
      <c r="E124" s="72"/>
      <c r="F124" s="72"/>
    </row>
    <row r="125" ht="15.75" customHeight="1">
      <c r="A125" s="72"/>
      <c r="B125" s="72"/>
      <c r="C125" s="74"/>
      <c r="D125" s="74"/>
      <c r="E125" s="72"/>
      <c r="F125" s="72"/>
    </row>
    <row r="126" ht="15.75" customHeight="1">
      <c r="A126" s="72"/>
      <c r="B126" s="72"/>
      <c r="C126" s="74"/>
      <c r="D126" s="74"/>
      <c r="E126" s="72"/>
      <c r="F126" s="72"/>
    </row>
    <row r="127" ht="15.75" customHeight="1">
      <c r="A127" s="72"/>
      <c r="B127" s="72"/>
      <c r="C127" s="74"/>
      <c r="D127" s="74"/>
      <c r="E127" s="72"/>
      <c r="F127" s="72"/>
    </row>
    <row r="128" ht="15.75" customHeight="1">
      <c r="A128" s="72"/>
      <c r="B128" s="72"/>
      <c r="C128" s="74"/>
      <c r="D128" s="74"/>
      <c r="E128" s="72"/>
      <c r="F128" s="72"/>
    </row>
    <row r="129" ht="15.75" customHeight="1">
      <c r="A129" s="72"/>
      <c r="B129" s="72"/>
      <c r="C129" s="74"/>
      <c r="D129" s="74"/>
      <c r="E129" s="72"/>
      <c r="F129" s="72"/>
    </row>
    <row r="130" ht="15.75" customHeight="1">
      <c r="A130" s="72"/>
      <c r="B130" s="72"/>
      <c r="C130" s="74"/>
      <c r="D130" s="74"/>
      <c r="E130" s="72"/>
      <c r="F130" s="72"/>
    </row>
    <row r="131" ht="15.75" customHeight="1">
      <c r="A131" s="72"/>
      <c r="B131" s="72"/>
      <c r="C131" s="74"/>
      <c r="D131" s="74"/>
      <c r="E131" s="72"/>
      <c r="F131" s="72"/>
    </row>
    <row r="132" ht="15.75" customHeight="1">
      <c r="A132" s="72"/>
      <c r="B132" s="72"/>
      <c r="C132" s="74"/>
      <c r="D132" s="74"/>
      <c r="E132" s="72"/>
      <c r="F132" s="72"/>
    </row>
    <row r="133" ht="15.75" customHeight="1">
      <c r="A133" s="72"/>
      <c r="B133" s="72"/>
      <c r="C133" s="74"/>
      <c r="D133" s="74"/>
      <c r="E133" s="72"/>
      <c r="F133" s="72"/>
    </row>
    <row r="134" ht="15.75" customHeight="1">
      <c r="A134" s="72"/>
      <c r="B134" s="72"/>
      <c r="C134" s="74"/>
      <c r="D134" s="74"/>
      <c r="E134" s="72"/>
      <c r="F134" s="72"/>
    </row>
    <row r="135" ht="15.75" customHeight="1">
      <c r="A135" s="72"/>
      <c r="B135" s="72"/>
      <c r="C135" s="74"/>
      <c r="D135" s="74"/>
      <c r="E135" s="72"/>
      <c r="F135" s="72"/>
    </row>
    <row r="136" ht="15.75" customHeight="1">
      <c r="A136" s="72"/>
      <c r="B136" s="72"/>
      <c r="C136" s="74"/>
      <c r="D136" s="74"/>
      <c r="E136" s="72"/>
      <c r="F136" s="72"/>
    </row>
    <row r="137" ht="15.75" customHeight="1">
      <c r="A137" s="72"/>
      <c r="B137" s="72"/>
      <c r="C137" s="74"/>
      <c r="D137" s="74"/>
      <c r="E137" s="72"/>
      <c r="F137" s="72"/>
    </row>
    <row r="138" ht="15.75" customHeight="1">
      <c r="A138" s="72"/>
      <c r="B138" s="72"/>
      <c r="C138" s="74"/>
      <c r="D138" s="74"/>
      <c r="E138" s="72"/>
      <c r="F138" s="72"/>
    </row>
    <row r="139" ht="15.75" customHeight="1">
      <c r="A139" s="72"/>
      <c r="B139" s="72"/>
      <c r="C139" s="74"/>
      <c r="D139" s="74"/>
      <c r="E139" s="72"/>
      <c r="F139" s="72"/>
    </row>
    <row r="140" ht="15.75" customHeight="1">
      <c r="A140" s="72"/>
      <c r="B140" s="72"/>
      <c r="C140" s="74"/>
      <c r="D140" s="74"/>
      <c r="E140" s="72"/>
      <c r="F140" s="72"/>
    </row>
    <row r="141" ht="15.75" customHeight="1">
      <c r="A141" s="72"/>
      <c r="B141" s="72"/>
      <c r="C141" s="74"/>
      <c r="D141" s="74"/>
      <c r="E141" s="72"/>
      <c r="F141" s="72"/>
    </row>
    <row r="142" ht="15.75" customHeight="1">
      <c r="A142" s="72"/>
      <c r="B142" s="72"/>
      <c r="C142" s="74"/>
      <c r="D142" s="74"/>
      <c r="E142" s="72"/>
      <c r="F142" s="72"/>
    </row>
    <row r="143" ht="15.75" customHeight="1">
      <c r="A143" s="72"/>
      <c r="B143" s="72"/>
      <c r="C143" s="74"/>
      <c r="D143" s="74"/>
      <c r="E143" s="72"/>
      <c r="F143" s="72"/>
    </row>
    <row r="144" ht="15.75" customHeight="1">
      <c r="A144" s="72"/>
      <c r="B144" s="72"/>
      <c r="C144" s="74"/>
      <c r="D144" s="74"/>
      <c r="E144" s="72"/>
      <c r="F144" s="72"/>
    </row>
    <row r="145" ht="15.75" customHeight="1">
      <c r="A145" s="72"/>
      <c r="B145" s="72"/>
      <c r="C145" s="74"/>
      <c r="D145" s="74"/>
      <c r="E145" s="72"/>
      <c r="F145" s="72"/>
    </row>
    <row r="146" ht="15.75" customHeight="1">
      <c r="A146" s="72"/>
      <c r="B146" s="72"/>
      <c r="C146" s="74"/>
      <c r="D146" s="74"/>
      <c r="E146" s="72"/>
      <c r="F146" s="72"/>
    </row>
    <row r="147" ht="15.75" customHeight="1">
      <c r="A147" s="72"/>
      <c r="B147" s="72"/>
      <c r="C147" s="74"/>
      <c r="D147" s="74"/>
      <c r="E147" s="72"/>
      <c r="F147" s="72"/>
    </row>
    <row r="148" ht="15.75" customHeight="1">
      <c r="A148" s="72"/>
      <c r="B148" s="72"/>
      <c r="C148" s="74"/>
      <c r="D148" s="74"/>
      <c r="E148" s="72"/>
      <c r="F148" s="72"/>
    </row>
    <row r="149" ht="15.75" customHeight="1">
      <c r="A149" s="72"/>
      <c r="B149" s="72"/>
      <c r="C149" s="74"/>
      <c r="D149" s="74"/>
      <c r="E149" s="72"/>
      <c r="F149" s="72"/>
    </row>
    <row r="150" ht="15.75" customHeight="1">
      <c r="A150" s="72"/>
      <c r="B150" s="72"/>
      <c r="C150" s="74"/>
      <c r="D150" s="74"/>
      <c r="E150" s="72"/>
      <c r="F150" s="72"/>
    </row>
    <row r="151" ht="15.75" customHeight="1">
      <c r="A151" s="72"/>
      <c r="B151" s="72"/>
      <c r="C151" s="74"/>
      <c r="D151" s="74"/>
      <c r="E151" s="72"/>
      <c r="F151" s="72"/>
    </row>
    <row r="152" ht="15.75" customHeight="1">
      <c r="A152" s="72"/>
      <c r="B152" s="72"/>
      <c r="C152" s="74"/>
      <c r="D152" s="74"/>
      <c r="E152" s="72"/>
      <c r="F152" s="72"/>
    </row>
    <row r="153" ht="15.75" customHeight="1">
      <c r="A153" s="72"/>
      <c r="B153" s="72"/>
      <c r="C153" s="74"/>
      <c r="D153" s="74"/>
      <c r="E153" s="72"/>
      <c r="F153" s="72"/>
    </row>
    <row r="154" ht="15.75" customHeight="1">
      <c r="A154" s="72"/>
      <c r="B154" s="72"/>
      <c r="C154" s="74"/>
      <c r="D154" s="74"/>
      <c r="E154" s="72"/>
      <c r="F154" s="72"/>
    </row>
    <row r="155" ht="15.75" customHeight="1">
      <c r="A155" s="72"/>
      <c r="B155" s="72"/>
      <c r="C155" s="74"/>
      <c r="D155" s="74"/>
      <c r="E155" s="72"/>
      <c r="F155" s="72"/>
    </row>
    <row r="156" ht="15.75" customHeight="1">
      <c r="A156" s="72"/>
      <c r="B156" s="72"/>
      <c r="C156" s="74"/>
      <c r="D156" s="74"/>
      <c r="E156" s="72"/>
      <c r="F156" s="72"/>
    </row>
    <row r="157" ht="15.75" customHeight="1">
      <c r="A157" s="72"/>
      <c r="B157" s="72"/>
      <c r="C157" s="74"/>
      <c r="D157" s="74"/>
      <c r="E157" s="72"/>
      <c r="F157" s="72"/>
    </row>
    <row r="158" ht="15.75" customHeight="1">
      <c r="A158" s="72"/>
      <c r="B158" s="72"/>
      <c r="C158" s="74"/>
      <c r="D158" s="74"/>
      <c r="E158" s="72"/>
      <c r="F158" s="72"/>
    </row>
    <row r="159" ht="15.75" customHeight="1">
      <c r="A159" s="72"/>
      <c r="B159" s="72"/>
      <c r="C159" s="74"/>
      <c r="D159" s="74"/>
      <c r="E159" s="72"/>
      <c r="F159" s="72"/>
    </row>
    <row r="160" ht="15.75" customHeight="1">
      <c r="A160" s="72"/>
      <c r="B160" s="72"/>
      <c r="C160" s="74"/>
      <c r="D160" s="74"/>
      <c r="E160" s="72"/>
      <c r="F160" s="72"/>
    </row>
    <row r="161" ht="15.75" customHeight="1">
      <c r="A161" s="72"/>
      <c r="B161" s="72"/>
      <c r="C161" s="74"/>
      <c r="D161" s="74"/>
      <c r="E161" s="72"/>
      <c r="F161" s="72"/>
    </row>
    <row r="162" ht="15.75" customHeight="1">
      <c r="A162" s="72"/>
      <c r="B162" s="72"/>
      <c r="C162" s="74"/>
      <c r="D162" s="74"/>
      <c r="E162" s="72"/>
      <c r="F162" s="72"/>
    </row>
    <row r="163" ht="15.75" customHeight="1">
      <c r="A163" s="72"/>
      <c r="B163" s="72"/>
      <c r="C163" s="74"/>
      <c r="D163" s="74"/>
      <c r="E163" s="72"/>
      <c r="F163" s="72"/>
    </row>
    <row r="164" ht="15.75" customHeight="1">
      <c r="A164" s="72"/>
      <c r="B164" s="72"/>
      <c r="C164" s="74"/>
      <c r="D164" s="74"/>
      <c r="E164" s="72"/>
      <c r="F164" s="72"/>
    </row>
    <row r="165" ht="15.75" customHeight="1">
      <c r="A165" s="72"/>
      <c r="B165" s="72"/>
      <c r="C165" s="74"/>
      <c r="D165" s="74"/>
      <c r="E165" s="72"/>
      <c r="F165" s="72"/>
    </row>
    <row r="166" ht="15.75" customHeight="1">
      <c r="A166" s="72"/>
      <c r="B166" s="72"/>
      <c r="C166" s="74"/>
      <c r="D166" s="74"/>
      <c r="E166" s="72"/>
      <c r="F166" s="72"/>
    </row>
    <row r="167" ht="15.75" customHeight="1">
      <c r="A167" s="72"/>
      <c r="B167" s="72"/>
      <c r="C167" s="74"/>
      <c r="D167" s="74"/>
      <c r="E167" s="72"/>
      <c r="F167" s="72"/>
    </row>
    <row r="168" ht="15.75" customHeight="1">
      <c r="A168" s="72"/>
      <c r="B168" s="72"/>
      <c r="C168" s="74"/>
      <c r="D168" s="74"/>
      <c r="E168" s="72"/>
      <c r="F168" s="72"/>
    </row>
    <row r="169" ht="15.75" customHeight="1">
      <c r="A169" s="72"/>
      <c r="B169" s="72"/>
      <c r="C169" s="74"/>
      <c r="D169" s="74"/>
      <c r="E169" s="72"/>
      <c r="F169" s="72"/>
    </row>
    <row r="170" ht="15.75" customHeight="1">
      <c r="A170" s="72"/>
      <c r="B170" s="72"/>
      <c r="C170" s="74"/>
      <c r="D170" s="74"/>
      <c r="E170" s="72"/>
      <c r="F170" s="72"/>
    </row>
    <row r="171" ht="15.75" customHeight="1">
      <c r="A171" s="72"/>
      <c r="B171" s="72"/>
      <c r="C171" s="74"/>
      <c r="D171" s="74"/>
      <c r="E171" s="72"/>
      <c r="F171" s="72"/>
    </row>
    <row r="172" ht="15.75" customHeight="1">
      <c r="A172" s="72"/>
      <c r="B172" s="72"/>
      <c r="C172" s="74"/>
      <c r="D172" s="74"/>
      <c r="E172" s="72"/>
      <c r="F172" s="72"/>
    </row>
    <row r="173" ht="15.75" customHeight="1">
      <c r="A173" s="72"/>
      <c r="B173" s="72"/>
      <c r="C173" s="74"/>
      <c r="D173" s="74"/>
      <c r="E173" s="72"/>
      <c r="F173" s="72"/>
    </row>
    <row r="174" ht="15.75" customHeight="1">
      <c r="A174" s="72"/>
      <c r="B174" s="72"/>
      <c r="C174" s="74"/>
      <c r="D174" s="74"/>
      <c r="E174" s="72"/>
      <c r="F174" s="72"/>
    </row>
    <row r="175" ht="15.75" customHeight="1">
      <c r="A175" s="72"/>
      <c r="B175" s="72"/>
      <c r="C175" s="74"/>
      <c r="D175" s="74"/>
      <c r="E175" s="72"/>
      <c r="F175" s="72"/>
    </row>
    <row r="176" ht="15.75" customHeight="1">
      <c r="A176" s="72"/>
      <c r="B176" s="72"/>
      <c r="C176" s="74"/>
      <c r="D176" s="74"/>
      <c r="E176" s="72"/>
      <c r="F176" s="72"/>
    </row>
    <row r="177" ht="15.75" customHeight="1">
      <c r="A177" s="72"/>
      <c r="B177" s="72"/>
      <c r="C177" s="74"/>
      <c r="D177" s="74"/>
      <c r="E177" s="72"/>
      <c r="F177" s="72"/>
    </row>
    <row r="178" ht="15.75" customHeight="1">
      <c r="A178" s="72"/>
      <c r="B178" s="72"/>
      <c r="C178" s="74"/>
      <c r="D178" s="74"/>
      <c r="E178" s="72"/>
      <c r="F178" s="72"/>
    </row>
    <row r="179" ht="15.75" customHeight="1">
      <c r="A179" s="72"/>
      <c r="B179" s="72"/>
      <c r="C179" s="74"/>
      <c r="D179" s="74"/>
      <c r="E179" s="72"/>
      <c r="F179" s="72"/>
    </row>
    <row r="180" ht="15.75" customHeight="1">
      <c r="A180" s="72"/>
      <c r="B180" s="72"/>
      <c r="C180" s="74"/>
      <c r="D180" s="74"/>
      <c r="E180" s="72"/>
      <c r="F180" s="72"/>
    </row>
    <row r="181" ht="15.75" customHeight="1">
      <c r="A181" s="72"/>
      <c r="B181" s="72"/>
      <c r="C181" s="74"/>
      <c r="D181" s="74"/>
      <c r="E181" s="72"/>
      <c r="F181" s="72"/>
    </row>
    <row r="182" ht="15.75" customHeight="1">
      <c r="A182" s="72"/>
      <c r="B182" s="72"/>
      <c r="C182" s="74"/>
      <c r="D182" s="74"/>
      <c r="E182" s="72"/>
      <c r="F182" s="72"/>
    </row>
    <row r="183" ht="15.75" customHeight="1">
      <c r="A183" s="72"/>
      <c r="B183" s="72"/>
      <c r="C183" s="74"/>
      <c r="D183" s="74"/>
      <c r="E183" s="72"/>
      <c r="F183" s="72"/>
    </row>
    <row r="184" ht="15.75" customHeight="1">
      <c r="A184" s="72"/>
      <c r="B184" s="72"/>
      <c r="C184" s="74"/>
      <c r="D184" s="74"/>
      <c r="E184" s="72"/>
      <c r="F184" s="72"/>
    </row>
    <row r="185" ht="15.75" customHeight="1">
      <c r="A185" s="72"/>
      <c r="B185" s="72"/>
      <c r="C185" s="74"/>
      <c r="D185" s="74"/>
      <c r="E185" s="72"/>
      <c r="F185" s="72"/>
    </row>
    <row r="186" ht="15.75" customHeight="1">
      <c r="A186" s="72"/>
      <c r="B186" s="72"/>
      <c r="C186" s="74"/>
      <c r="D186" s="74"/>
      <c r="E186" s="72"/>
      <c r="F186" s="72"/>
    </row>
    <row r="187" ht="15.75" customHeight="1">
      <c r="A187" s="72"/>
      <c r="B187" s="72"/>
      <c r="C187" s="74"/>
      <c r="D187" s="74"/>
      <c r="E187" s="72"/>
      <c r="F187" s="72"/>
    </row>
    <row r="188" ht="15.75" customHeight="1">
      <c r="A188" s="72"/>
      <c r="B188" s="72"/>
      <c r="C188" s="74"/>
      <c r="D188" s="74"/>
      <c r="E188" s="72"/>
      <c r="F188" s="72"/>
    </row>
    <row r="189" ht="15.75" customHeight="1">
      <c r="A189" s="72"/>
      <c r="B189" s="72"/>
      <c r="C189" s="74"/>
      <c r="D189" s="74"/>
      <c r="E189" s="72"/>
      <c r="F189" s="72"/>
    </row>
    <row r="190" ht="15.75" customHeight="1">
      <c r="A190" s="72"/>
      <c r="B190" s="72"/>
      <c r="C190" s="74"/>
      <c r="D190" s="74"/>
      <c r="E190" s="72"/>
      <c r="F190" s="72"/>
    </row>
    <row r="191" ht="15.75" customHeight="1">
      <c r="A191" s="72"/>
      <c r="B191" s="72"/>
      <c r="C191" s="74"/>
      <c r="D191" s="74"/>
      <c r="E191" s="72"/>
      <c r="F191" s="72"/>
    </row>
    <row r="192" ht="15.75" customHeight="1">
      <c r="A192" s="72"/>
      <c r="B192" s="72"/>
      <c r="C192" s="74"/>
      <c r="D192" s="74"/>
      <c r="E192" s="72"/>
      <c r="F192" s="72"/>
    </row>
    <row r="193" ht="15.75" customHeight="1">
      <c r="A193" s="72"/>
      <c r="B193" s="72"/>
      <c r="C193" s="74"/>
      <c r="D193" s="74"/>
      <c r="E193" s="72"/>
      <c r="F193" s="72"/>
    </row>
    <row r="194" ht="15.75" customHeight="1">
      <c r="A194" s="72"/>
      <c r="B194" s="72"/>
      <c r="C194" s="74"/>
      <c r="D194" s="74"/>
      <c r="E194" s="72"/>
      <c r="F194" s="72"/>
    </row>
    <row r="195" ht="15.75" customHeight="1">
      <c r="A195" s="72"/>
      <c r="B195" s="72"/>
      <c r="C195" s="74"/>
      <c r="D195" s="74"/>
      <c r="E195" s="72"/>
      <c r="F195" s="72"/>
    </row>
    <row r="196" ht="15.75" customHeight="1">
      <c r="A196" s="72"/>
      <c r="B196" s="72"/>
      <c r="C196" s="74"/>
      <c r="D196" s="74"/>
      <c r="E196" s="72"/>
      <c r="F196" s="72"/>
    </row>
    <row r="197" ht="15.75" customHeight="1">
      <c r="A197" s="72"/>
      <c r="B197" s="72"/>
      <c r="C197" s="74"/>
      <c r="D197" s="74"/>
      <c r="E197" s="72"/>
      <c r="F197" s="72"/>
    </row>
    <row r="198" ht="15.75" customHeight="1">
      <c r="A198" s="72"/>
      <c r="B198" s="72"/>
      <c r="C198" s="74"/>
      <c r="D198" s="74"/>
      <c r="E198" s="72"/>
      <c r="F198" s="72"/>
    </row>
    <row r="199" ht="15.75" customHeight="1">
      <c r="A199" s="72"/>
      <c r="B199" s="72"/>
      <c r="C199" s="74"/>
      <c r="D199" s="74"/>
      <c r="E199" s="72"/>
      <c r="F199" s="72"/>
    </row>
    <row r="200" ht="15.75" customHeight="1">
      <c r="A200" s="72"/>
      <c r="B200" s="72"/>
      <c r="C200" s="74"/>
      <c r="D200" s="74"/>
      <c r="E200" s="72"/>
      <c r="F200" s="72"/>
    </row>
    <row r="201" ht="15.75" customHeight="1">
      <c r="A201" s="72"/>
      <c r="B201" s="72"/>
      <c r="C201" s="74"/>
      <c r="D201" s="74"/>
      <c r="E201" s="72"/>
      <c r="F201" s="72"/>
    </row>
    <row r="202" ht="15.75" customHeight="1">
      <c r="A202" s="72"/>
      <c r="B202" s="72"/>
      <c r="C202" s="74"/>
      <c r="D202" s="74"/>
      <c r="E202" s="72"/>
      <c r="F202" s="72"/>
    </row>
    <row r="203" ht="15.75" customHeight="1">
      <c r="A203" s="72"/>
      <c r="B203" s="72"/>
      <c r="C203" s="74"/>
      <c r="D203" s="74"/>
      <c r="E203" s="72"/>
      <c r="F203" s="72"/>
    </row>
    <row r="204" ht="15.75" customHeight="1">
      <c r="A204" s="72"/>
      <c r="B204" s="72"/>
      <c r="C204" s="74"/>
      <c r="D204" s="74"/>
      <c r="E204" s="72"/>
      <c r="F204" s="72"/>
    </row>
    <row r="205" ht="15.75" customHeight="1">
      <c r="A205" s="72"/>
      <c r="B205" s="72"/>
      <c r="C205" s="74"/>
      <c r="D205" s="74"/>
      <c r="E205" s="72"/>
      <c r="F205" s="72"/>
    </row>
    <row r="206" ht="15.75" customHeight="1">
      <c r="A206" s="72"/>
      <c r="B206" s="72"/>
      <c r="C206" s="74"/>
      <c r="D206" s="74"/>
      <c r="E206" s="72"/>
      <c r="F206" s="72"/>
    </row>
    <row r="207" ht="15.75" customHeight="1">
      <c r="A207" s="72"/>
      <c r="B207" s="72"/>
      <c r="C207" s="74"/>
      <c r="D207" s="74"/>
      <c r="E207" s="72"/>
      <c r="F207" s="72"/>
    </row>
    <row r="208" ht="15.75" customHeight="1">
      <c r="A208" s="72"/>
      <c r="B208" s="72"/>
      <c r="C208" s="74"/>
      <c r="D208" s="74"/>
      <c r="E208" s="72"/>
      <c r="F208" s="72"/>
    </row>
    <row r="209" ht="15.75" customHeight="1">
      <c r="A209" s="72"/>
      <c r="B209" s="72"/>
      <c r="C209" s="74"/>
      <c r="D209" s="74"/>
      <c r="E209" s="72"/>
      <c r="F209" s="72"/>
    </row>
    <row r="210" ht="15.75" customHeight="1">
      <c r="A210" s="72"/>
      <c r="B210" s="72"/>
      <c r="C210" s="74"/>
      <c r="D210" s="74"/>
      <c r="E210" s="72"/>
      <c r="F210" s="72"/>
    </row>
    <row r="211" ht="15.75" customHeight="1">
      <c r="A211" s="72"/>
      <c r="B211" s="72"/>
      <c r="C211" s="74"/>
      <c r="D211" s="74"/>
      <c r="E211" s="72"/>
      <c r="F211" s="72"/>
    </row>
    <row r="212" ht="15.75" customHeight="1">
      <c r="A212" s="72"/>
      <c r="B212" s="72"/>
      <c r="C212" s="74"/>
      <c r="D212" s="74"/>
      <c r="E212" s="72"/>
      <c r="F212" s="72"/>
    </row>
    <row r="213" ht="15.75" customHeight="1">
      <c r="A213" s="72"/>
      <c r="B213" s="72"/>
      <c r="C213" s="74"/>
      <c r="D213" s="74"/>
      <c r="E213" s="72"/>
      <c r="F213" s="72"/>
    </row>
    <row r="214" ht="15.75" customHeight="1">
      <c r="A214" s="72"/>
      <c r="B214" s="72"/>
      <c r="C214" s="74"/>
      <c r="D214" s="74"/>
      <c r="E214" s="72"/>
      <c r="F214" s="72"/>
    </row>
    <row r="215" ht="15.75" customHeight="1">
      <c r="A215" s="72"/>
      <c r="B215" s="72"/>
      <c r="C215" s="74"/>
      <c r="D215" s="74"/>
      <c r="E215" s="72"/>
      <c r="F215" s="72"/>
    </row>
    <row r="216" ht="15.75" customHeight="1">
      <c r="A216" s="72"/>
      <c r="B216" s="72"/>
      <c r="C216" s="74"/>
      <c r="D216" s="74"/>
      <c r="E216" s="72"/>
      <c r="F216" s="72"/>
    </row>
    <row r="217" ht="15.75" customHeight="1">
      <c r="A217" s="72"/>
      <c r="B217" s="72"/>
      <c r="C217" s="74"/>
      <c r="D217" s="74"/>
      <c r="E217" s="72"/>
      <c r="F217" s="72"/>
    </row>
    <row r="218" ht="15.75" customHeight="1">
      <c r="A218" s="72"/>
      <c r="B218" s="72"/>
      <c r="C218" s="74"/>
      <c r="D218" s="74"/>
      <c r="E218" s="72"/>
      <c r="F218" s="72"/>
    </row>
    <row r="219" ht="15.75" customHeight="1">
      <c r="A219" s="72"/>
      <c r="B219" s="72"/>
      <c r="C219" s="74"/>
      <c r="D219" s="74"/>
      <c r="E219" s="72"/>
      <c r="F219" s="72"/>
    </row>
    <row r="220" ht="15.75" customHeight="1">
      <c r="A220" s="72"/>
      <c r="B220" s="72"/>
      <c r="C220" s="74"/>
      <c r="D220" s="74"/>
      <c r="E220" s="72"/>
      <c r="F220" s="72"/>
    </row>
    <row r="221" ht="15.75" customHeight="1">
      <c r="A221" s="72"/>
      <c r="B221" s="72"/>
      <c r="C221" s="74"/>
      <c r="D221" s="74"/>
      <c r="E221" s="72"/>
      <c r="F221" s="72"/>
    </row>
    <row r="222" ht="15.75" customHeight="1">
      <c r="A222" s="72"/>
      <c r="B222" s="72"/>
      <c r="C222" s="74"/>
      <c r="D222" s="74"/>
      <c r="E222" s="72"/>
      <c r="F222" s="72"/>
    </row>
    <row r="223" ht="15.75" customHeight="1">
      <c r="A223" s="72"/>
      <c r="B223" s="72"/>
      <c r="C223" s="74"/>
      <c r="D223" s="74"/>
      <c r="E223" s="72"/>
      <c r="F223" s="72"/>
    </row>
    <row r="224" ht="15.75" customHeight="1">
      <c r="A224" s="72"/>
      <c r="B224" s="72"/>
      <c r="C224" s="74"/>
      <c r="D224" s="74"/>
      <c r="E224" s="72"/>
      <c r="F224" s="72"/>
    </row>
    <row r="225" ht="15.75" customHeight="1">
      <c r="A225" s="72"/>
      <c r="B225" s="72"/>
      <c r="C225" s="74"/>
      <c r="D225" s="74"/>
      <c r="E225" s="72"/>
      <c r="F225" s="72"/>
    </row>
    <row r="226" ht="15.75" customHeight="1">
      <c r="A226" s="72"/>
      <c r="B226" s="72"/>
      <c r="C226" s="74"/>
      <c r="D226" s="74"/>
      <c r="E226" s="72"/>
      <c r="F226" s="72"/>
    </row>
    <row r="227" ht="15.75" customHeight="1">
      <c r="A227" s="72"/>
      <c r="B227" s="72"/>
      <c r="C227" s="74"/>
      <c r="D227" s="74"/>
      <c r="E227" s="72"/>
      <c r="F227" s="72"/>
    </row>
    <row r="228" ht="15.75" customHeight="1">
      <c r="A228" s="72"/>
      <c r="B228" s="72"/>
      <c r="C228" s="74"/>
      <c r="D228" s="74"/>
      <c r="E228" s="72"/>
      <c r="F228" s="72"/>
    </row>
    <row r="229" ht="15.75" customHeight="1">
      <c r="A229" s="72"/>
      <c r="B229" s="72"/>
      <c r="C229" s="74"/>
      <c r="D229" s="74"/>
      <c r="E229" s="72"/>
      <c r="F229" s="72"/>
    </row>
    <row r="230" ht="15.75" customHeight="1">
      <c r="A230" s="72"/>
      <c r="B230" s="72"/>
      <c r="C230" s="74"/>
      <c r="D230" s="74"/>
      <c r="E230" s="72"/>
      <c r="F230" s="72"/>
    </row>
    <row r="231" ht="15.75" customHeight="1">
      <c r="A231" s="72"/>
      <c r="B231" s="72"/>
      <c r="C231" s="74"/>
      <c r="D231" s="74"/>
      <c r="E231" s="72"/>
      <c r="F231" s="72"/>
    </row>
    <row r="232" ht="15.75" customHeight="1">
      <c r="A232" s="72"/>
      <c r="B232" s="72"/>
      <c r="C232" s="74"/>
      <c r="D232" s="74"/>
      <c r="E232" s="72"/>
      <c r="F232" s="7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2:O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0"/>
    <col customWidth="1" min="2" max="2" width="21.13"/>
    <col customWidth="1" min="3" max="4" width="9.63"/>
    <col customWidth="1" min="5" max="5" width="10.38"/>
    <col customWidth="1" min="6" max="8" width="10.63"/>
    <col customWidth="1" min="9" max="9" width="13.25"/>
    <col customWidth="1" min="10" max="11" width="7.25"/>
    <col customWidth="1" min="12" max="13" width="9.38"/>
    <col customWidth="1" min="14" max="14" width="4.13"/>
    <col customWidth="1" min="15" max="15" width="12.75"/>
    <col customWidth="1" min="16" max="16" width="9.88"/>
    <col customWidth="1" min="17" max="17" width="13.88"/>
  </cols>
  <sheetData>
    <row r="1" ht="15.75" customHeight="1">
      <c r="A1" s="69"/>
      <c r="B1" s="69"/>
      <c r="C1" s="70" t="s">
        <v>2</v>
      </c>
      <c r="D1" s="70" t="s">
        <v>193</v>
      </c>
      <c r="E1" s="70">
        <f>SUM(E3:E31)</f>
        <v>1061000</v>
      </c>
      <c r="F1" s="70">
        <f t="shared" ref="F1:H1" si="1">SUM(F3:F29)</f>
        <v>810000</v>
      </c>
      <c r="G1" s="70">
        <f t="shared" si="1"/>
        <v>144000</v>
      </c>
      <c r="H1" s="70">
        <f t="shared" si="1"/>
        <v>101000</v>
      </c>
      <c r="I1" s="69"/>
      <c r="J1" s="69"/>
      <c r="K1" s="69">
        <f>COUNTA(K3:K31)</f>
        <v>24</v>
      </c>
      <c r="L1" s="69">
        <f>COUNTIF(L3:L29,False)</f>
        <v>0</v>
      </c>
      <c r="M1" s="69">
        <f>COUNTIF(M3:M29,true)</f>
        <v>23</v>
      </c>
      <c r="N1" s="69"/>
      <c r="Q1" s="69"/>
      <c r="R1" s="69"/>
      <c r="S1" s="69"/>
      <c r="T1" s="69"/>
      <c r="U1" s="69"/>
      <c r="V1" s="69"/>
      <c r="W1" s="69"/>
      <c r="X1" s="69"/>
      <c r="Y1" s="69"/>
    </row>
    <row r="2" ht="15.75" customHeight="1">
      <c r="A2" s="69" t="s">
        <v>0</v>
      </c>
      <c r="B2" s="69" t="s">
        <v>1</v>
      </c>
      <c r="C2" s="69"/>
      <c r="D2" s="69" t="s">
        <v>7</v>
      </c>
      <c r="E2" s="70" t="s">
        <v>194</v>
      </c>
      <c r="F2" s="69" t="s">
        <v>195</v>
      </c>
      <c r="G2" s="69" t="s">
        <v>196</v>
      </c>
      <c r="H2" s="69" t="s">
        <v>88</v>
      </c>
      <c r="I2" s="69" t="s">
        <v>169</v>
      </c>
      <c r="J2" s="69" t="s">
        <v>3</v>
      </c>
      <c r="K2" s="69" t="s">
        <v>170</v>
      </c>
      <c r="L2" s="69" t="s">
        <v>197</v>
      </c>
      <c r="M2" s="69" t="s">
        <v>198</v>
      </c>
      <c r="N2" s="69"/>
      <c r="O2" s="77" t="s">
        <v>199</v>
      </c>
      <c r="P2" s="77">
        <f>L1</f>
        <v>0</v>
      </c>
      <c r="Q2" s="69"/>
      <c r="R2" s="69"/>
      <c r="S2" s="69"/>
      <c r="T2" s="69"/>
      <c r="U2" s="69"/>
      <c r="V2" s="69"/>
      <c r="W2" s="69"/>
      <c r="X2" s="69"/>
      <c r="Y2" s="69"/>
    </row>
    <row r="3" ht="15.75" customHeight="1">
      <c r="A3" s="72">
        <v>1.0</v>
      </c>
      <c r="B3" s="73" t="s">
        <v>200</v>
      </c>
      <c r="C3" s="74"/>
      <c r="D3" s="74" t="s">
        <v>11</v>
      </c>
      <c r="E3" s="74">
        <f t="shared" ref="E3:E13" si="2">F3+G3+H3</f>
        <v>45000</v>
      </c>
      <c r="F3" s="74">
        <v>35000.0</v>
      </c>
      <c r="G3" s="74">
        <v>6000.0</v>
      </c>
      <c r="H3" s="74">
        <f>45000-G3-F3</f>
        <v>4000</v>
      </c>
      <c r="I3" s="72" t="s">
        <v>174</v>
      </c>
      <c r="J3" s="72" t="s">
        <v>201</v>
      </c>
      <c r="K3" s="72" t="s">
        <v>175</v>
      </c>
      <c r="L3" s="72" t="b">
        <v>1</v>
      </c>
      <c r="M3" s="72" t="b">
        <v>1</v>
      </c>
      <c r="N3" s="72"/>
      <c r="O3" s="75" t="s">
        <v>176</v>
      </c>
      <c r="P3" s="75">
        <f>SUM(P4:P8)</f>
        <v>0</v>
      </c>
      <c r="Q3" s="72"/>
      <c r="R3" s="72"/>
      <c r="S3" s="72"/>
      <c r="T3" s="72"/>
      <c r="U3" s="72"/>
      <c r="V3" s="72"/>
      <c r="W3" s="72"/>
      <c r="X3" s="72"/>
      <c r="Y3" s="72"/>
    </row>
    <row r="4" ht="15.75" customHeight="1">
      <c r="A4" s="72">
        <v>2.0</v>
      </c>
      <c r="B4" s="73" t="s">
        <v>115</v>
      </c>
      <c r="C4" s="74"/>
      <c r="D4" s="74" t="s">
        <v>11</v>
      </c>
      <c r="E4" s="74">
        <f t="shared" si="2"/>
        <v>39000</v>
      </c>
      <c r="F4" s="78">
        <v>29000.0</v>
      </c>
      <c r="G4" s="74">
        <v>6000.0</v>
      </c>
      <c r="H4" s="74">
        <f t="shared" ref="H4:H25" si="3">$H$3</f>
        <v>4000</v>
      </c>
      <c r="I4" s="72" t="s">
        <v>178</v>
      </c>
      <c r="J4" s="72" t="s">
        <v>13</v>
      </c>
      <c r="K4" s="72" t="s">
        <v>179</v>
      </c>
      <c r="L4" s="72" t="b">
        <v>1</v>
      </c>
      <c r="M4" s="72" t="b">
        <v>1</v>
      </c>
      <c r="N4" s="72"/>
      <c r="O4" s="72" t="s">
        <v>201</v>
      </c>
      <c r="P4" s="72">
        <f>COUNTIFS($K$3:$K$31,"negro",$J$3:$J$31,"XS",$L$3:$L$31,"FALSE")</f>
        <v>0</v>
      </c>
      <c r="Q4" s="72"/>
      <c r="R4" s="72"/>
      <c r="S4" s="72"/>
      <c r="T4" s="72"/>
      <c r="U4" s="72"/>
      <c r="V4" s="72"/>
      <c r="W4" s="72"/>
      <c r="X4" s="72"/>
      <c r="Y4" s="72"/>
    </row>
    <row r="5" ht="15.75" customHeight="1">
      <c r="A5" s="72">
        <v>3.0</v>
      </c>
      <c r="B5" s="73" t="s">
        <v>16</v>
      </c>
      <c r="C5" s="74"/>
      <c r="D5" s="74" t="s">
        <v>11</v>
      </c>
      <c r="E5" s="74">
        <f t="shared" si="2"/>
        <v>39000</v>
      </c>
      <c r="F5" s="78">
        <v>29000.0</v>
      </c>
      <c r="G5" s="74">
        <v>6000.0</v>
      </c>
      <c r="H5" s="74">
        <f t="shared" si="3"/>
        <v>4000</v>
      </c>
      <c r="I5" s="72" t="s">
        <v>180</v>
      </c>
      <c r="J5" s="72" t="s">
        <v>13</v>
      </c>
      <c r="K5" s="72" t="s">
        <v>179</v>
      </c>
      <c r="L5" s="72" t="b">
        <v>1</v>
      </c>
      <c r="M5" s="72" t="b">
        <v>1</v>
      </c>
      <c r="N5" s="72"/>
      <c r="O5" s="72" t="s">
        <v>13</v>
      </c>
      <c r="P5" s="72">
        <f>COUNTIFS($K$3:$K$31,"negro",$J$3:$J$31,"S",$L$3:$L$31,"FALSE")</f>
        <v>0</v>
      </c>
      <c r="Q5" s="72"/>
      <c r="R5" s="72"/>
      <c r="S5" s="72"/>
      <c r="T5" s="72"/>
      <c r="U5" s="72"/>
      <c r="V5" s="72"/>
      <c r="W5" s="72"/>
      <c r="X5" s="72"/>
      <c r="Y5" s="72"/>
    </row>
    <row r="6" ht="15.75" customHeight="1">
      <c r="A6" s="72">
        <v>4.0</v>
      </c>
      <c r="B6" s="73" t="s">
        <v>59</v>
      </c>
      <c r="C6" s="74"/>
      <c r="D6" s="74" t="s">
        <v>11</v>
      </c>
      <c r="E6" s="74">
        <f t="shared" si="2"/>
        <v>45000</v>
      </c>
      <c r="F6" s="74">
        <v>35000.0</v>
      </c>
      <c r="G6" s="74">
        <v>6000.0</v>
      </c>
      <c r="H6" s="74">
        <f t="shared" si="3"/>
        <v>4000</v>
      </c>
      <c r="I6" s="72" t="s">
        <v>202</v>
      </c>
      <c r="J6" s="72" t="s">
        <v>9</v>
      </c>
      <c r="K6" s="72" t="s">
        <v>175</v>
      </c>
      <c r="L6" s="72" t="b">
        <v>1</v>
      </c>
      <c r="M6" s="72" t="b">
        <v>1</v>
      </c>
      <c r="N6" s="72"/>
      <c r="O6" s="72" t="s">
        <v>9</v>
      </c>
      <c r="P6" s="72">
        <f>COUNTIFS($K$3:$K$31,"negro",$J$3:$J$31,"M",$L$3:$L$31,"FALSE")</f>
        <v>0</v>
      </c>
      <c r="Q6" s="72"/>
      <c r="R6" s="72"/>
      <c r="S6" s="72"/>
      <c r="T6" s="72"/>
      <c r="U6" s="72"/>
      <c r="V6" s="72"/>
      <c r="W6" s="72"/>
      <c r="X6" s="72"/>
      <c r="Y6" s="72"/>
    </row>
    <row r="7" ht="15.75" customHeight="1">
      <c r="A7" s="72">
        <v>5.0</v>
      </c>
      <c r="B7" s="73" t="s">
        <v>34</v>
      </c>
      <c r="C7" s="74"/>
      <c r="D7" s="74" t="s">
        <v>11</v>
      </c>
      <c r="E7" s="74">
        <f t="shared" si="2"/>
        <v>39000</v>
      </c>
      <c r="F7" s="78">
        <v>29000.0</v>
      </c>
      <c r="G7" s="74">
        <v>6000.0</v>
      </c>
      <c r="H7" s="74">
        <f t="shared" si="3"/>
        <v>4000</v>
      </c>
      <c r="I7" s="72" t="s">
        <v>202</v>
      </c>
      <c r="J7" s="72" t="s">
        <v>13</v>
      </c>
      <c r="K7" s="72" t="s">
        <v>179</v>
      </c>
      <c r="L7" s="72" t="b">
        <v>1</v>
      </c>
      <c r="M7" s="72" t="b">
        <v>1</v>
      </c>
      <c r="N7" s="72"/>
      <c r="O7" s="72" t="s">
        <v>20</v>
      </c>
      <c r="P7" s="72">
        <f>COUNTIFS($K$3:$K$31,"negro",$J$3:$J$31,"L",$L$3:$L$31,"FALSE")</f>
        <v>0</v>
      </c>
      <c r="Q7" s="72"/>
      <c r="R7" s="72"/>
      <c r="S7" s="72"/>
      <c r="T7" s="72"/>
      <c r="U7" s="72"/>
      <c r="V7" s="72"/>
      <c r="W7" s="72"/>
      <c r="X7" s="72"/>
      <c r="Y7" s="72"/>
    </row>
    <row r="8" ht="15.75" customHeight="1">
      <c r="A8" s="72">
        <v>6.0</v>
      </c>
      <c r="B8" s="73" t="s">
        <v>26</v>
      </c>
      <c r="C8" s="74"/>
      <c r="D8" s="74" t="s">
        <v>11</v>
      </c>
      <c r="E8" s="74">
        <f t="shared" si="2"/>
        <v>45000</v>
      </c>
      <c r="F8" s="74">
        <v>35000.0</v>
      </c>
      <c r="G8" s="74">
        <v>6000.0</v>
      </c>
      <c r="H8" s="74">
        <f t="shared" si="3"/>
        <v>4000</v>
      </c>
      <c r="I8" s="72" t="s">
        <v>202</v>
      </c>
      <c r="J8" s="72" t="s">
        <v>13</v>
      </c>
      <c r="K8" s="72" t="s">
        <v>175</v>
      </c>
      <c r="L8" s="72" t="b">
        <v>1</v>
      </c>
      <c r="M8" s="72" t="b">
        <v>1</v>
      </c>
      <c r="N8" s="72"/>
      <c r="O8" s="72" t="s">
        <v>35</v>
      </c>
      <c r="P8" s="72">
        <f>COUNTIFS($K$3:$K$31,"negro",$J$3:$J$31,"XL")</f>
        <v>0</v>
      </c>
      <c r="Q8" s="72"/>
      <c r="R8" s="72"/>
      <c r="S8" s="72"/>
      <c r="T8" s="72"/>
      <c r="U8" s="72"/>
      <c r="V8" s="72"/>
      <c r="W8" s="72"/>
      <c r="X8" s="72"/>
      <c r="Y8" s="72"/>
    </row>
    <row r="9" ht="15.75" customHeight="1">
      <c r="A9" s="72">
        <v>7.0</v>
      </c>
      <c r="B9" s="73" t="s">
        <v>8</v>
      </c>
      <c r="C9" s="74"/>
      <c r="D9" s="74" t="s">
        <v>11</v>
      </c>
      <c r="E9" s="74">
        <f t="shared" si="2"/>
        <v>45000</v>
      </c>
      <c r="F9" s="74">
        <v>35000.0</v>
      </c>
      <c r="G9" s="74">
        <v>6000.0</v>
      </c>
      <c r="H9" s="74">
        <f t="shared" si="3"/>
        <v>4000</v>
      </c>
      <c r="I9" s="72" t="s">
        <v>174</v>
      </c>
      <c r="J9" s="72" t="s">
        <v>9</v>
      </c>
      <c r="K9" s="72" t="s">
        <v>175</v>
      </c>
      <c r="L9" s="72" t="b">
        <v>1</v>
      </c>
      <c r="M9" s="72" t="b">
        <v>1</v>
      </c>
      <c r="N9" s="72"/>
      <c r="O9" s="76" t="s">
        <v>177</v>
      </c>
      <c r="P9" s="76">
        <f>SUM(P10:P14)</f>
        <v>0</v>
      </c>
      <c r="Q9" s="72"/>
      <c r="R9" s="72"/>
      <c r="S9" s="72"/>
      <c r="T9" s="72"/>
      <c r="U9" s="72"/>
      <c r="V9" s="72"/>
      <c r="W9" s="72"/>
      <c r="X9" s="72"/>
      <c r="Y9" s="72"/>
    </row>
    <row r="10" ht="15.75" customHeight="1">
      <c r="A10" s="72">
        <v>8.0</v>
      </c>
      <c r="B10" s="73" t="s">
        <v>12</v>
      </c>
      <c r="C10" s="74"/>
      <c r="D10" s="74" t="s">
        <v>11</v>
      </c>
      <c r="E10" s="74">
        <f t="shared" si="2"/>
        <v>45000</v>
      </c>
      <c r="F10" s="74">
        <v>35000.0</v>
      </c>
      <c r="G10" s="74">
        <v>6000.0</v>
      </c>
      <c r="H10" s="74">
        <f t="shared" si="3"/>
        <v>4000</v>
      </c>
      <c r="I10" s="72" t="s">
        <v>202</v>
      </c>
      <c r="J10" s="72" t="s">
        <v>201</v>
      </c>
      <c r="K10" s="72" t="s">
        <v>179</v>
      </c>
      <c r="L10" s="72" t="b">
        <v>1</v>
      </c>
      <c r="M10" s="72" t="b">
        <v>1</v>
      </c>
      <c r="N10" s="72"/>
      <c r="O10" s="72" t="s">
        <v>201</v>
      </c>
      <c r="P10" s="72">
        <f>COUNTIFS($K$3:$K$31,"azul",$J$3:$J$31,"XS",$L$3:$L$31,"FALSE")</f>
        <v>0</v>
      </c>
      <c r="Q10" s="72"/>
      <c r="R10" s="72"/>
      <c r="S10" s="72"/>
      <c r="T10" s="72"/>
      <c r="U10" s="72"/>
      <c r="V10" s="72"/>
      <c r="W10" s="72"/>
      <c r="X10" s="72"/>
      <c r="Y10" s="72"/>
    </row>
    <row r="11" ht="15.75" customHeight="1">
      <c r="A11" s="72">
        <v>9.0</v>
      </c>
      <c r="B11" s="73" t="s">
        <v>181</v>
      </c>
      <c r="C11" s="74"/>
      <c r="D11" s="74" t="s">
        <v>11</v>
      </c>
      <c r="E11" s="74">
        <f t="shared" si="2"/>
        <v>39000</v>
      </c>
      <c r="F11" s="78">
        <v>29000.0</v>
      </c>
      <c r="G11" s="74">
        <v>6000.0</v>
      </c>
      <c r="H11" s="74">
        <f t="shared" si="3"/>
        <v>4000</v>
      </c>
      <c r="I11" s="72" t="s">
        <v>174</v>
      </c>
      <c r="J11" s="72" t="s">
        <v>35</v>
      </c>
      <c r="K11" s="72" t="s">
        <v>179</v>
      </c>
      <c r="L11" s="72" t="b">
        <v>1</v>
      </c>
      <c r="M11" s="72" t="b">
        <v>1</v>
      </c>
      <c r="N11" s="72"/>
      <c r="O11" s="72" t="s">
        <v>13</v>
      </c>
      <c r="P11" s="72">
        <f>COUNTIFS($K$3:$K$31,"azul",$J$3:$J$31,"S",$L$3:$L$31,"FALSE")</f>
        <v>0</v>
      </c>
      <c r="Q11" s="72"/>
      <c r="R11" s="72"/>
      <c r="S11" s="72"/>
      <c r="T11" s="72"/>
      <c r="U11" s="72"/>
      <c r="V11" s="72"/>
      <c r="W11" s="72"/>
      <c r="X11" s="72"/>
      <c r="Y11" s="72"/>
    </row>
    <row r="12" ht="15.75" customHeight="1">
      <c r="A12" s="72">
        <v>10.0</v>
      </c>
      <c r="B12" s="73" t="s">
        <v>185</v>
      </c>
      <c r="C12" s="74"/>
      <c r="D12" s="74" t="s">
        <v>11</v>
      </c>
      <c r="E12" s="74">
        <f t="shared" si="2"/>
        <v>45000</v>
      </c>
      <c r="F12" s="74">
        <v>35000.0</v>
      </c>
      <c r="G12" s="74">
        <v>6000.0</v>
      </c>
      <c r="H12" s="74">
        <f t="shared" si="3"/>
        <v>4000</v>
      </c>
      <c r="I12" s="72" t="s">
        <v>174</v>
      </c>
      <c r="J12" s="72" t="s">
        <v>20</v>
      </c>
      <c r="K12" s="72" t="s">
        <v>175</v>
      </c>
      <c r="L12" s="72" t="b">
        <v>1</v>
      </c>
      <c r="M12" s="72" t="b">
        <v>0</v>
      </c>
      <c r="N12" s="72"/>
      <c r="O12" s="72" t="s">
        <v>9</v>
      </c>
      <c r="P12" s="72">
        <f>COUNTIFS($K$3:$K$31,"azul",$J$3:$J$31,"M",$L$3:$L$31,"FALSE")</f>
        <v>0</v>
      </c>
      <c r="Q12" s="72"/>
      <c r="R12" s="72"/>
      <c r="S12" s="72"/>
      <c r="T12" s="72"/>
      <c r="U12" s="72"/>
      <c r="V12" s="72"/>
      <c r="W12" s="72"/>
      <c r="X12" s="72"/>
      <c r="Y12" s="72"/>
    </row>
    <row r="13" ht="15.75" customHeight="1">
      <c r="A13" s="72">
        <v>11.0</v>
      </c>
      <c r="B13" s="73" t="s">
        <v>36</v>
      </c>
      <c r="C13" s="74"/>
      <c r="D13" s="74" t="s">
        <v>11</v>
      </c>
      <c r="E13" s="74">
        <f t="shared" si="2"/>
        <v>45000</v>
      </c>
      <c r="F13" s="74">
        <v>35000.0</v>
      </c>
      <c r="G13" s="74">
        <v>6000.0</v>
      </c>
      <c r="H13" s="74">
        <f t="shared" si="3"/>
        <v>4000</v>
      </c>
      <c r="I13" s="72" t="s">
        <v>174</v>
      </c>
      <c r="J13" s="72" t="s">
        <v>13</v>
      </c>
      <c r="K13" s="72" t="s">
        <v>175</v>
      </c>
      <c r="L13" s="72" t="b">
        <v>1</v>
      </c>
      <c r="M13" s="72" t="b">
        <v>1</v>
      </c>
      <c r="N13" s="72"/>
      <c r="O13" s="72" t="s">
        <v>20</v>
      </c>
      <c r="P13" s="72">
        <f>COUNTIFS($K$3:$K$31,"azul",$J$3:$J$31,"L",$L$3:$L$31,"FALSE")</f>
        <v>0</v>
      </c>
      <c r="Q13" s="72"/>
      <c r="R13" s="72"/>
      <c r="S13" s="72"/>
      <c r="T13" s="72"/>
      <c r="U13" s="72"/>
      <c r="V13" s="72"/>
      <c r="W13" s="72"/>
      <c r="X13" s="72"/>
      <c r="Y13" s="72"/>
    </row>
    <row r="14" ht="15.75" customHeight="1">
      <c r="A14" s="72">
        <v>12.0</v>
      </c>
      <c r="B14" s="73" t="s">
        <v>29</v>
      </c>
      <c r="C14" s="74"/>
      <c r="D14" s="74" t="s">
        <v>11</v>
      </c>
      <c r="E14" s="74">
        <v>45000.0</v>
      </c>
      <c r="F14" s="74">
        <v>35000.0</v>
      </c>
      <c r="G14" s="74">
        <v>6000.0</v>
      </c>
      <c r="H14" s="74">
        <f t="shared" si="3"/>
        <v>4000</v>
      </c>
      <c r="I14" s="72" t="s">
        <v>202</v>
      </c>
      <c r="J14" s="72" t="s">
        <v>9</v>
      </c>
      <c r="K14" s="72" t="s">
        <v>175</v>
      </c>
      <c r="L14" s="72" t="b">
        <v>1</v>
      </c>
      <c r="M14" s="72" t="b">
        <v>1</v>
      </c>
      <c r="N14" s="72"/>
      <c r="O14" s="72" t="s">
        <v>35</v>
      </c>
      <c r="P14" s="72">
        <f>COUNTIFS($K$3:$K$31,"azul",$J$3:$J$31,"XL",$L$3:$L$31,"FALSE")</f>
        <v>0</v>
      </c>
      <c r="Q14" s="72"/>
      <c r="R14" s="72"/>
      <c r="S14" s="72"/>
      <c r="T14" s="72"/>
      <c r="U14" s="72"/>
      <c r="V14" s="72"/>
      <c r="W14" s="72"/>
      <c r="X14" s="72"/>
      <c r="Y14" s="72"/>
    </row>
    <row r="15" ht="15.75" customHeight="1">
      <c r="A15" s="72">
        <v>13.0</v>
      </c>
      <c r="B15" s="73" t="s">
        <v>31</v>
      </c>
      <c r="C15" s="74"/>
      <c r="D15" s="74" t="s">
        <v>11</v>
      </c>
      <c r="E15" s="74">
        <v>45000.0</v>
      </c>
      <c r="F15" s="74">
        <v>35000.0</v>
      </c>
      <c r="G15" s="74">
        <v>6000.0</v>
      </c>
      <c r="H15" s="74">
        <f t="shared" si="3"/>
        <v>4000</v>
      </c>
      <c r="I15" s="72" t="s">
        <v>174</v>
      </c>
      <c r="J15" s="72" t="s">
        <v>9</v>
      </c>
      <c r="K15" s="72" t="s">
        <v>179</v>
      </c>
      <c r="L15" s="72" t="b">
        <v>1</v>
      </c>
      <c r="M15" s="72" t="b">
        <v>1</v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ht="15.75" customHeight="1">
      <c r="A16" s="72">
        <v>14.0</v>
      </c>
      <c r="B16" s="73" t="s">
        <v>203</v>
      </c>
      <c r="C16" s="74"/>
      <c r="D16" s="74" t="s">
        <v>11</v>
      </c>
      <c r="E16" s="74">
        <v>45000.0</v>
      </c>
      <c r="F16" s="74">
        <v>35000.0</v>
      </c>
      <c r="G16" s="74">
        <v>6000.0</v>
      </c>
      <c r="H16" s="74">
        <f t="shared" si="3"/>
        <v>4000</v>
      </c>
      <c r="I16" s="72" t="s">
        <v>174</v>
      </c>
      <c r="J16" s="72" t="s">
        <v>20</v>
      </c>
      <c r="K16" s="72" t="s">
        <v>179</v>
      </c>
      <c r="L16" s="72" t="b">
        <v>1</v>
      </c>
      <c r="M16" s="72" t="b">
        <v>1</v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</row>
    <row r="17" ht="15.75" customHeight="1">
      <c r="A17" s="72">
        <v>15.0</v>
      </c>
      <c r="B17" s="73" t="s">
        <v>204</v>
      </c>
      <c r="C17" s="74"/>
      <c r="D17" s="74" t="s">
        <v>11</v>
      </c>
      <c r="E17" s="74">
        <v>45000.0</v>
      </c>
      <c r="F17" s="74">
        <v>35000.0</v>
      </c>
      <c r="G17" s="74">
        <v>6000.0</v>
      </c>
      <c r="H17" s="74">
        <f t="shared" si="3"/>
        <v>4000</v>
      </c>
      <c r="I17" s="72" t="s">
        <v>174</v>
      </c>
      <c r="J17" s="72" t="s">
        <v>20</v>
      </c>
      <c r="K17" s="72" t="s">
        <v>175</v>
      </c>
      <c r="L17" s="72" t="b">
        <v>1</v>
      </c>
      <c r="M17" s="72" t="b">
        <v>1</v>
      </c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</row>
    <row r="18" ht="15.75" customHeight="1">
      <c r="A18" s="72">
        <v>16.0</v>
      </c>
      <c r="B18" s="73" t="s">
        <v>205</v>
      </c>
      <c r="C18" s="74"/>
      <c r="D18" s="74" t="s">
        <v>11</v>
      </c>
      <c r="E18" s="74">
        <v>45000.0</v>
      </c>
      <c r="F18" s="78">
        <v>29000.0</v>
      </c>
      <c r="G18" s="74">
        <v>6000.0</v>
      </c>
      <c r="H18" s="74">
        <f t="shared" si="3"/>
        <v>4000</v>
      </c>
      <c r="I18" s="72" t="s">
        <v>174</v>
      </c>
      <c r="J18" s="72" t="s">
        <v>13</v>
      </c>
      <c r="K18" s="72" t="s">
        <v>179</v>
      </c>
      <c r="L18" s="72" t="b">
        <v>1</v>
      </c>
      <c r="M18" s="72" t="b">
        <v>1</v>
      </c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</row>
    <row r="19" ht="15.75" customHeight="1">
      <c r="A19" s="72">
        <v>17.0</v>
      </c>
      <c r="B19" s="73" t="s">
        <v>89</v>
      </c>
      <c r="C19" s="74"/>
      <c r="D19" s="74" t="s">
        <v>43</v>
      </c>
      <c r="E19" s="74">
        <v>45000.0</v>
      </c>
      <c r="F19" s="74">
        <v>35000.0</v>
      </c>
      <c r="G19" s="74">
        <v>6000.0</v>
      </c>
      <c r="H19" s="74">
        <f t="shared" si="3"/>
        <v>4000</v>
      </c>
      <c r="I19" s="72" t="s">
        <v>174</v>
      </c>
      <c r="J19" s="72" t="s">
        <v>9</v>
      </c>
      <c r="K19" s="72" t="s">
        <v>175</v>
      </c>
      <c r="L19" s="72" t="b">
        <v>1</v>
      </c>
      <c r="M19" s="72" t="b">
        <v>1</v>
      </c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</row>
    <row r="20" ht="15.75" customHeight="1">
      <c r="A20" s="72">
        <v>18.0</v>
      </c>
      <c r="B20" s="73" t="s">
        <v>187</v>
      </c>
      <c r="C20" s="74"/>
      <c r="D20" s="74" t="s">
        <v>11</v>
      </c>
      <c r="E20" s="74">
        <v>45000.0</v>
      </c>
      <c r="F20" s="74">
        <v>35000.0</v>
      </c>
      <c r="G20" s="74">
        <v>6000.0</v>
      </c>
      <c r="H20" s="74">
        <f t="shared" si="3"/>
        <v>4000</v>
      </c>
      <c r="I20" s="72" t="s">
        <v>174</v>
      </c>
      <c r="J20" s="72" t="s">
        <v>20</v>
      </c>
      <c r="K20" s="72" t="s">
        <v>175</v>
      </c>
      <c r="L20" s="72" t="b">
        <v>1</v>
      </c>
      <c r="M20" s="72" t="b">
        <v>1</v>
      </c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</row>
    <row r="21" ht="15.75" customHeight="1">
      <c r="A21" s="72">
        <v>19.0</v>
      </c>
      <c r="B21" s="73" t="s">
        <v>23</v>
      </c>
      <c r="C21" s="74"/>
      <c r="D21" s="74" t="s">
        <v>11</v>
      </c>
      <c r="E21" s="74">
        <v>45000.0</v>
      </c>
      <c r="F21" s="74">
        <v>35000.0</v>
      </c>
      <c r="G21" s="74">
        <v>6000.0</v>
      </c>
      <c r="H21" s="74">
        <f t="shared" si="3"/>
        <v>4000</v>
      </c>
      <c r="I21" s="72" t="s">
        <v>174</v>
      </c>
      <c r="J21" s="72" t="s">
        <v>9</v>
      </c>
      <c r="K21" s="72" t="s">
        <v>175</v>
      </c>
      <c r="L21" s="72" t="b">
        <v>1</v>
      </c>
      <c r="M21" s="72" t="b">
        <v>1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</row>
    <row r="22" ht="15.75" customHeight="1">
      <c r="A22" s="72">
        <v>20.0</v>
      </c>
      <c r="B22" s="73" t="s">
        <v>71</v>
      </c>
      <c r="C22" s="74"/>
      <c r="D22" s="74" t="s">
        <v>11</v>
      </c>
      <c r="E22" s="74">
        <v>45000.0</v>
      </c>
      <c r="F22" s="74">
        <v>35000.0</v>
      </c>
      <c r="G22" s="74">
        <v>6000.0</v>
      </c>
      <c r="H22" s="74">
        <f t="shared" si="3"/>
        <v>4000</v>
      </c>
      <c r="I22" s="72" t="s">
        <v>174</v>
      </c>
      <c r="J22" s="72" t="s">
        <v>13</v>
      </c>
      <c r="K22" s="72" t="s">
        <v>175</v>
      </c>
      <c r="L22" s="72" t="b">
        <v>1</v>
      </c>
      <c r="M22" s="72" t="b">
        <v>1</v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</row>
    <row r="23" ht="15.75" customHeight="1">
      <c r="A23" s="72">
        <v>21.0</v>
      </c>
      <c r="B23" s="73" t="s">
        <v>42</v>
      </c>
      <c r="C23" s="74"/>
      <c r="D23" s="74" t="s">
        <v>43</v>
      </c>
      <c r="E23" s="74">
        <v>45000.0</v>
      </c>
      <c r="F23" s="74">
        <v>35000.0</v>
      </c>
      <c r="G23" s="74">
        <v>6000.0</v>
      </c>
      <c r="H23" s="74">
        <f t="shared" si="3"/>
        <v>4000</v>
      </c>
      <c r="I23" s="72" t="s">
        <v>206</v>
      </c>
      <c r="J23" s="72" t="s">
        <v>13</v>
      </c>
      <c r="K23" s="72" t="s">
        <v>175</v>
      </c>
      <c r="L23" s="72" t="b">
        <v>1</v>
      </c>
      <c r="M23" s="72" t="b">
        <v>1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</row>
    <row r="24" ht="15.75" customHeight="1">
      <c r="A24" s="72">
        <v>22.0</v>
      </c>
      <c r="B24" s="73" t="s">
        <v>207</v>
      </c>
      <c r="C24" s="74"/>
      <c r="D24" s="74" t="s">
        <v>11</v>
      </c>
      <c r="E24" s="74">
        <v>45000.0</v>
      </c>
      <c r="F24" s="74">
        <v>35000.0</v>
      </c>
      <c r="G24" s="74">
        <v>6000.0</v>
      </c>
      <c r="H24" s="74">
        <f t="shared" si="3"/>
        <v>4000</v>
      </c>
      <c r="I24" s="72" t="s">
        <v>174</v>
      </c>
      <c r="J24" s="72" t="s">
        <v>13</v>
      </c>
      <c r="K24" s="72" t="s">
        <v>175</v>
      </c>
      <c r="L24" s="72" t="b">
        <v>1</v>
      </c>
      <c r="M24" s="72" t="b">
        <v>1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</row>
    <row r="25" ht="15.75" customHeight="1">
      <c r="A25" s="72">
        <v>23.0</v>
      </c>
      <c r="B25" s="73" t="s">
        <v>208</v>
      </c>
      <c r="C25" s="74"/>
      <c r="D25" s="74" t="s">
        <v>11</v>
      </c>
      <c r="E25" s="74">
        <v>45000.0</v>
      </c>
      <c r="F25" s="74">
        <v>35000.0</v>
      </c>
      <c r="G25" s="74">
        <v>6000.0</v>
      </c>
      <c r="H25" s="74">
        <f t="shared" si="3"/>
        <v>4000</v>
      </c>
      <c r="I25" s="72" t="s">
        <v>178</v>
      </c>
      <c r="J25" s="72" t="s">
        <v>20</v>
      </c>
      <c r="K25" s="72" t="s">
        <v>175</v>
      </c>
      <c r="L25" s="72" t="b">
        <v>1</v>
      </c>
      <c r="M25" s="72" t="b">
        <v>1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</row>
    <row r="26" ht="15.75" customHeight="1">
      <c r="A26" s="72">
        <v>24.0</v>
      </c>
      <c r="B26" s="73" t="s">
        <v>209</v>
      </c>
      <c r="C26" s="74"/>
      <c r="D26" s="74" t="s">
        <v>210</v>
      </c>
      <c r="E26" s="74">
        <v>50000.0</v>
      </c>
      <c r="F26" s="74">
        <v>35000.0</v>
      </c>
      <c r="G26" s="74">
        <v>6000.0</v>
      </c>
      <c r="H26" s="74">
        <v>9000.0</v>
      </c>
      <c r="I26" s="72" t="s">
        <v>189</v>
      </c>
      <c r="J26" s="72" t="s">
        <v>20</v>
      </c>
      <c r="K26" s="72" t="s">
        <v>175</v>
      </c>
      <c r="L26" s="72" t="b">
        <v>1</v>
      </c>
      <c r="M26" s="72" t="b">
        <v>1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 ht="15.75" customHeight="1">
      <c r="A27" s="72">
        <v>25.0</v>
      </c>
      <c r="B27" s="73"/>
      <c r="C27" s="74"/>
      <c r="D27" s="74"/>
      <c r="E27" s="74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</row>
    <row r="28" ht="15.75" customHeight="1">
      <c r="A28" s="72">
        <v>26.0</v>
      </c>
      <c r="B28" s="73"/>
      <c r="C28" s="74"/>
      <c r="D28" s="74"/>
      <c r="E28" s="74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ht="15.75" customHeight="1">
      <c r="A29" s="72">
        <v>27.0</v>
      </c>
      <c r="B29" s="73"/>
      <c r="C29" s="74"/>
      <c r="D29" s="74"/>
      <c r="E29" s="74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 ht="15.75" customHeight="1">
      <c r="A30" s="72">
        <v>28.0</v>
      </c>
      <c r="B30" s="73"/>
      <c r="C30" s="74"/>
      <c r="D30" s="74"/>
      <c r="E30" s="74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</row>
    <row r="31" ht="15.75" customHeight="1">
      <c r="A31" s="72">
        <v>29.0</v>
      </c>
      <c r="B31" s="73"/>
      <c r="C31" s="74"/>
      <c r="D31" s="74"/>
      <c r="E31" s="74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ht="15.75" customHeight="1">
      <c r="A32" s="72">
        <v>30.0</v>
      </c>
      <c r="B32" s="73"/>
      <c r="C32" s="74"/>
      <c r="D32" s="74"/>
      <c r="E32" s="74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</row>
    <row r="33" ht="15.75" customHeight="1">
      <c r="A33" s="72"/>
      <c r="B33" s="72"/>
      <c r="C33" s="74"/>
      <c r="D33" s="74"/>
      <c r="E33" s="74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ht="15.75" customHeight="1">
      <c r="A34" s="72"/>
      <c r="B34" s="72"/>
      <c r="C34" s="74"/>
      <c r="D34" s="74"/>
      <c r="E34" s="74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ht="15.75" customHeight="1">
      <c r="A35" s="72"/>
      <c r="B35" s="72"/>
      <c r="C35" s="74"/>
      <c r="D35" s="74"/>
      <c r="E35" s="74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ht="15.75" customHeight="1">
      <c r="A36" s="72"/>
      <c r="B36" s="72"/>
      <c r="C36" s="74"/>
      <c r="D36" s="74"/>
      <c r="E36" s="74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ht="15.75" customHeight="1">
      <c r="A37" s="72"/>
      <c r="B37" s="72"/>
      <c r="C37" s="74"/>
      <c r="D37" s="74"/>
      <c r="E37" s="74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</row>
    <row r="38" ht="15.75" customHeight="1">
      <c r="A38" s="72"/>
      <c r="B38" s="72"/>
      <c r="C38" s="74"/>
      <c r="D38" s="74"/>
      <c r="E38" s="74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</row>
    <row r="39" ht="15.75" customHeight="1">
      <c r="A39" s="72"/>
      <c r="B39" s="72"/>
      <c r="C39" s="74"/>
      <c r="D39" s="74"/>
      <c r="E39" s="74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</row>
    <row r="40" ht="15.75" customHeight="1">
      <c r="A40" s="72"/>
      <c r="B40" s="72"/>
      <c r="C40" s="74"/>
      <c r="D40" s="74"/>
      <c r="E40" s="74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</row>
    <row r="41" ht="15.75" customHeight="1">
      <c r="A41" s="72"/>
      <c r="B41" s="72"/>
      <c r="C41" s="74"/>
      <c r="D41" s="74"/>
      <c r="E41" s="74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</row>
    <row r="42" ht="15.75" customHeight="1">
      <c r="A42" s="72"/>
      <c r="B42" s="72"/>
      <c r="C42" s="74"/>
      <c r="D42" s="74"/>
      <c r="E42" s="74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</row>
    <row r="43" ht="15.75" customHeight="1">
      <c r="A43" s="72"/>
      <c r="B43" s="72"/>
      <c r="C43" s="74"/>
      <c r="D43" s="74"/>
      <c r="E43" s="74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 ht="15.75" customHeight="1">
      <c r="A44" s="72"/>
      <c r="B44" s="72"/>
      <c r="C44" s="74"/>
      <c r="D44" s="74"/>
      <c r="E44" s="74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ht="15.75" customHeight="1">
      <c r="A45" s="72"/>
      <c r="B45" s="72"/>
      <c r="C45" s="74"/>
      <c r="D45" s="74"/>
      <c r="E45" s="74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 ht="15.75" customHeight="1">
      <c r="A46" s="72"/>
      <c r="B46" s="72"/>
      <c r="C46" s="74"/>
      <c r="D46" s="74"/>
      <c r="E46" s="74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 ht="15.75" customHeight="1">
      <c r="A47" s="72"/>
      <c r="B47" s="72"/>
      <c r="C47" s="74"/>
      <c r="D47" s="74"/>
      <c r="E47" s="74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</row>
    <row r="48" ht="15.75" customHeight="1">
      <c r="A48" s="72"/>
      <c r="B48" s="72"/>
      <c r="C48" s="74"/>
      <c r="D48" s="74"/>
      <c r="E48" s="74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 ht="15.75" customHeight="1">
      <c r="A49" s="72"/>
      <c r="B49" s="72"/>
      <c r="C49" s="74"/>
      <c r="D49" s="74"/>
      <c r="E49" s="74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</row>
    <row r="50" ht="15.75" customHeight="1">
      <c r="A50" s="72"/>
      <c r="B50" s="72"/>
      <c r="C50" s="74"/>
      <c r="D50" s="74"/>
      <c r="E50" s="74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 ht="15.75" customHeight="1">
      <c r="A51" s="72"/>
      <c r="B51" s="72"/>
      <c r="C51" s="74"/>
      <c r="D51" s="74"/>
      <c r="E51" s="74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</row>
    <row r="52" ht="15.75" customHeight="1">
      <c r="A52" s="72"/>
      <c r="B52" s="72"/>
      <c r="C52" s="74"/>
      <c r="D52" s="74"/>
      <c r="E52" s="74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</row>
    <row r="53" ht="15.75" customHeight="1">
      <c r="A53" s="72"/>
      <c r="B53" s="72"/>
      <c r="C53" s="74"/>
      <c r="D53" s="74"/>
      <c r="E53" s="74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</row>
    <row r="54" ht="15.75" customHeight="1">
      <c r="A54" s="72"/>
      <c r="B54" s="72"/>
      <c r="C54" s="74"/>
      <c r="D54" s="74"/>
      <c r="E54" s="74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</row>
    <row r="55" ht="15.75" customHeight="1">
      <c r="A55" s="72"/>
      <c r="B55" s="72"/>
      <c r="C55" s="74"/>
      <c r="D55" s="74"/>
      <c r="E55" s="74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 ht="15.75" customHeight="1">
      <c r="A56" s="72"/>
      <c r="B56" s="72"/>
      <c r="C56" s="74"/>
      <c r="D56" s="74"/>
      <c r="E56" s="74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 ht="15.75" customHeight="1">
      <c r="A57" s="72"/>
      <c r="B57" s="72"/>
      <c r="C57" s="74"/>
      <c r="D57" s="74"/>
      <c r="E57" s="74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</row>
    <row r="58" ht="15.75" customHeight="1">
      <c r="A58" s="72"/>
      <c r="B58" s="72"/>
      <c r="C58" s="74"/>
      <c r="D58" s="74"/>
      <c r="E58" s="74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</row>
    <row r="59" ht="15.75" customHeight="1">
      <c r="A59" s="72"/>
      <c r="B59" s="72"/>
      <c r="C59" s="74"/>
      <c r="D59" s="74"/>
      <c r="E59" s="74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  <row r="60" ht="15.75" customHeight="1">
      <c r="A60" s="72"/>
      <c r="B60" s="72"/>
      <c r="C60" s="74"/>
      <c r="D60" s="74"/>
      <c r="E60" s="74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</row>
    <row r="61" ht="15.75" customHeight="1">
      <c r="A61" s="72"/>
      <c r="B61" s="72"/>
      <c r="C61" s="74"/>
      <c r="D61" s="74"/>
      <c r="E61" s="74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</row>
    <row r="62" ht="15.75" customHeight="1">
      <c r="A62" s="72"/>
      <c r="B62" s="72"/>
      <c r="C62" s="74"/>
      <c r="D62" s="74"/>
      <c r="E62" s="74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</row>
    <row r="63" ht="15.75" customHeight="1">
      <c r="A63" s="72"/>
      <c r="B63" s="72"/>
      <c r="C63" s="74"/>
      <c r="D63" s="74"/>
      <c r="E63" s="74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</row>
    <row r="64" ht="15.75" customHeight="1">
      <c r="A64" s="72"/>
      <c r="B64" s="72"/>
      <c r="C64" s="74"/>
      <c r="D64" s="74"/>
      <c r="E64" s="74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  <row r="65" ht="15.75" customHeight="1">
      <c r="A65" s="72"/>
      <c r="B65" s="72"/>
      <c r="C65" s="74"/>
      <c r="D65" s="74"/>
      <c r="E65" s="74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</row>
    <row r="66" ht="15.75" customHeight="1">
      <c r="A66" s="72"/>
      <c r="B66" s="72"/>
      <c r="C66" s="74"/>
      <c r="D66" s="74"/>
      <c r="E66" s="74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</row>
    <row r="67" ht="15.75" customHeight="1">
      <c r="A67" s="72"/>
      <c r="B67" s="72"/>
      <c r="C67" s="74"/>
      <c r="D67" s="74"/>
      <c r="E67" s="74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</row>
    <row r="68" ht="15.75" customHeight="1">
      <c r="A68" s="72"/>
      <c r="B68" s="72"/>
      <c r="C68" s="74"/>
      <c r="D68" s="74"/>
      <c r="E68" s="74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</row>
    <row r="69" ht="15.75" customHeight="1">
      <c r="A69" s="72"/>
      <c r="B69" s="72"/>
      <c r="C69" s="74"/>
      <c r="D69" s="74"/>
      <c r="E69" s="74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</row>
    <row r="70" ht="15.75" customHeight="1">
      <c r="A70" s="72"/>
      <c r="B70" s="72"/>
      <c r="C70" s="74"/>
      <c r="D70" s="74"/>
      <c r="E70" s="74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</row>
    <row r="71" ht="15.75" customHeight="1">
      <c r="A71" s="72"/>
      <c r="B71" s="72"/>
      <c r="C71" s="74"/>
      <c r="D71" s="74"/>
      <c r="E71" s="74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</row>
    <row r="72" ht="15.75" customHeight="1">
      <c r="A72" s="72"/>
      <c r="B72" s="72"/>
      <c r="C72" s="74"/>
      <c r="D72" s="74"/>
      <c r="E72" s="74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</row>
    <row r="73" ht="15.75" customHeight="1">
      <c r="A73" s="72"/>
      <c r="B73" s="72"/>
      <c r="C73" s="74"/>
      <c r="D73" s="74"/>
      <c r="E73" s="74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</row>
    <row r="74" ht="15.75" customHeight="1">
      <c r="A74" s="72"/>
      <c r="B74" s="72"/>
      <c r="C74" s="74"/>
      <c r="D74" s="74"/>
      <c r="E74" s="74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</row>
    <row r="75" ht="15.75" customHeight="1">
      <c r="A75" s="72"/>
      <c r="B75" s="72"/>
      <c r="C75" s="74"/>
      <c r="D75" s="74"/>
      <c r="E75" s="74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</row>
    <row r="76" ht="15.75" customHeight="1">
      <c r="A76" s="72"/>
      <c r="B76" s="72"/>
      <c r="C76" s="74"/>
      <c r="D76" s="74"/>
      <c r="E76" s="74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</row>
    <row r="77" ht="15.75" customHeight="1">
      <c r="A77" s="72"/>
      <c r="B77" s="72"/>
      <c r="C77" s="74"/>
      <c r="D77" s="74"/>
      <c r="E77" s="74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</row>
    <row r="78" ht="15.75" customHeight="1">
      <c r="A78" s="72"/>
      <c r="B78" s="72"/>
      <c r="C78" s="74"/>
      <c r="D78" s="74"/>
      <c r="E78" s="74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</row>
    <row r="79" ht="15.75" customHeight="1">
      <c r="A79" s="72"/>
      <c r="B79" s="72"/>
      <c r="C79" s="74"/>
      <c r="D79" s="74"/>
      <c r="E79" s="74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</row>
    <row r="80" ht="15.75" customHeight="1">
      <c r="A80" s="72"/>
      <c r="B80" s="72"/>
      <c r="C80" s="74"/>
      <c r="D80" s="74"/>
      <c r="E80" s="74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</row>
    <row r="81" ht="15.75" customHeight="1">
      <c r="A81" s="72"/>
      <c r="B81" s="72"/>
      <c r="C81" s="74"/>
      <c r="D81" s="74"/>
      <c r="E81" s="74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</row>
    <row r="82" ht="15.75" customHeight="1">
      <c r="A82" s="72"/>
      <c r="B82" s="72"/>
      <c r="C82" s="74"/>
      <c r="D82" s="74"/>
      <c r="E82" s="74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</row>
    <row r="83" ht="15.75" customHeight="1">
      <c r="A83" s="72"/>
      <c r="B83" s="72"/>
      <c r="C83" s="74"/>
      <c r="D83" s="74"/>
      <c r="E83" s="74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</row>
    <row r="84" ht="15.75" customHeight="1">
      <c r="A84" s="72"/>
      <c r="B84" s="72"/>
      <c r="C84" s="74"/>
      <c r="D84" s="74"/>
      <c r="E84" s="74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</row>
    <row r="85" ht="15.75" customHeight="1">
      <c r="A85" s="72"/>
      <c r="B85" s="72"/>
      <c r="C85" s="74"/>
      <c r="D85" s="74"/>
      <c r="E85" s="74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</row>
    <row r="86" ht="15.75" customHeight="1">
      <c r="A86" s="72"/>
      <c r="B86" s="72"/>
      <c r="C86" s="74"/>
      <c r="D86" s="74"/>
      <c r="E86" s="74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</row>
    <row r="87" ht="15.75" customHeight="1">
      <c r="A87" s="72"/>
      <c r="B87" s="72"/>
      <c r="C87" s="74"/>
      <c r="D87" s="74"/>
      <c r="E87" s="74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</row>
    <row r="88" ht="15.75" customHeight="1">
      <c r="A88" s="72"/>
      <c r="B88" s="72"/>
      <c r="C88" s="74"/>
      <c r="D88" s="74"/>
      <c r="E88" s="74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</row>
    <row r="89" ht="15.75" customHeight="1">
      <c r="A89" s="72"/>
      <c r="B89" s="72"/>
      <c r="C89" s="74"/>
      <c r="D89" s="74"/>
      <c r="E89" s="74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</row>
    <row r="90" ht="15.75" customHeight="1">
      <c r="A90" s="72"/>
      <c r="B90" s="72"/>
      <c r="C90" s="74"/>
      <c r="D90" s="74"/>
      <c r="E90" s="74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</row>
    <row r="91" ht="15.75" customHeight="1">
      <c r="A91" s="72"/>
      <c r="B91" s="72"/>
      <c r="C91" s="74"/>
      <c r="D91" s="74"/>
      <c r="E91" s="74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</row>
    <row r="92" ht="15.75" customHeight="1">
      <c r="A92" s="72"/>
      <c r="B92" s="72"/>
      <c r="C92" s="74"/>
      <c r="D92" s="74"/>
      <c r="E92" s="74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</row>
    <row r="93" ht="15.75" customHeight="1">
      <c r="A93" s="72"/>
      <c r="B93" s="72"/>
      <c r="C93" s="74"/>
      <c r="D93" s="74"/>
      <c r="E93" s="74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</row>
    <row r="94" ht="15.75" customHeight="1">
      <c r="A94" s="72"/>
      <c r="B94" s="72"/>
      <c r="C94" s="74"/>
      <c r="D94" s="74"/>
      <c r="E94" s="7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</row>
    <row r="95" ht="15.75" customHeight="1">
      <c r="A95" s="72"/>
      <c r="B95" s="72"/>
      <c r="C95" s="74"/>
      <c r="D95" s="74"/>
      <c r="E95" s="74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</row>
    <row r="96" ht="15.75" customHeight="1">
      <c r="A96" s="72"/>
      <c r="B96" s="72"/>
      <c r="C96" s="74"/>
      <c r="D96" s="74"/>
      <c r="E96" s="74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</row>
    <row r="97" ht="15.75" customHeight="1">
      <c r="A97" s="72"/>
      <c r="B97" s="72"/>
      <c r="C97" s="74"/>
      <c r="D97" s="74"/>
      <c r="E97" s="74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</row>
    <row r="98" ht="15.75" customHeight="1">
      <c r="A98" s="72"/>
      <c r="B98" s="72"/>
      <c r="C98" s="74"/>
      <c r="D98" s="74"/>
      <c r="E98" s="74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</row>
    <row r="99" ht="15.75" customHeight="1">
      <c r="A99" s="72"/>
      <c r="B99" s="72"/>
      <c r="C99" s="74"/>
      <c r="D99" s="74"/>
      <c r="E99" s="74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</row>
    <row r="100" ht="15.75" customHeight="1">
      <c r="A100" s="72"/>
      <c r="B100" s="72"/>
      <c r="C100" s="74"/>
      <c r="D100" s="74"/>
      <c r="E100" s="74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</row>
    <row r="101" ht="15.75" customHeight="1">
      <c r="A101" s="72"/>
      <c r="B101" s="72"/>
      <c r="C101" s="74"/>
      <c r="D101" s="74"/>
      <c r="E101" s="74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</row>
    <row r="102" ht="15.75" customHeight="1">
      <c r="A102" s="72"/>
      <c r="B102" s="72"/>
      <c r="C102" s="74"/>
      <c r="D102" s="74"/>
      <c r="E102" s="74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</row>
    <row r="103" ht="15.75" customHeight="1">
      <c r="A103" s="72"/>
      <c r="B103" s="72"/>
      <c r="C103" s="74"/>
      <c r="D103" s="74"/>
      <c r="E103" s="74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</row>
    <row r="104" ht="15.75" customHeight="1">
      <c r="A104" s="72"/>
      <c r="B104" s="72"/>
      <c r="C104" s="74"/>
      <c r="D104" s="74"/>
      <c r="E104" s="74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</row>
    <row r="105" ht="15.75" customHeight="1">
      <c r="A105" s="72"/>
      <c r="B105" s="72"/>
      <c r="C105" s="74"/>
      <c r="D105" s="74"/>
      <c r="E105" s="74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</row>
    <row r="106" ht="15.75" customHeight="1">
      <c r="A106" s="72"/>
      <c r="B106" s="72"/>
      <c r="C106" s="74"/>
      <c r="D106" s="74"/>
      <c r="E106" s="74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</row>
    <row r="107" ht="15.75" customHeight="1">
      <c r="A107" s="72"/>
      <c r="B107" s="72"/>
      <c r="C107" s="74"/>
      <c r="D107" s="74"/>
      <c r="E107" s="74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</row>
    <row r="108" ht="15.75" customHeight="1">
      <c r="A108" s="72"/>
      <c r="B108" s="72"/>
      <c r="C108" s="74"/>
      <c r="D108" s="74"/>
      <c r="E108" s="74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</row>
    <row r="109" ht="15.75" customHeight="1">
      <c r="A109" s="72"/>
      <c r="B109" s="72"/>
      <c r="C109" s="74"/>
      <c r="D109" s="74"/>
      <c r="E109" s="74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</row>
    <row r="110" ht="15.75" customHeight="1">
      <c r="A110" s="72"/>
      <c r="B110" s="72"/>
      <c r="C110" s="74"/>
      <c r="D110" s="74"/>
      <c r="E110" s="74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</row>
    <row r="111" ht="15.75" customHeight="1">
      <c r="A111" s="72"/>
      <c r="B111" s="72"/>
      <c r="C111" s="74"/>
      <c r="D111" s="74"/>
      <c r="E111" s="74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</row>
    <row r="112" ht="15.75" customHeight="1">
      <c r="A112" s="72"/>
      <c r="B112" s="72"/>
      <c r="C112" s="74"/>
      <c r="D112" s="74"/>
      <c r="E112" s="74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</row>
    <row r="113" ht="15.75" customHeight="1">
      <c r="A113" s="72"/>
      <c r="B113" s="72"/>
      <c r="C113" s="74"/>
      <c r="D113" s="74"/>
      <c r="E113" s="74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</row>
    <row r="114" ht="15.75" customHeight="1">
      <c r="A114" s="72"/>
      <c r="B114" s="72"/>
      <c r="C114" s="74"/>
      <c r="D114" s="74"/>
      <c r="E114" s="74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</row>
    <row r="115" ht="15.75" customHeight="1">
      <c r="A115" s="72"/>
      <c r="B115" s="72"/>
      <c r="C115" s="74"/>
      <c r="D115" s="74"/>
      <c r="E115" s="74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</row>
    <row r="116" ht="15.75" customHeight="1">
      <c r="A116" s="72"/>
      <c r="B116" s="72"/>
      <c r="C116" s="74"/>
      <c r="D116" s="74"/>
      <c r="E116" s="74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</row>
    <row r="117" ht="15.75" customHeight="1">
      <c r="A117" s="72"/>
      <c r="B117" s="72"/>
      <c r="C117" s="74"/>
      <c r="D117" s="74"/>
      <c r="E117" s="74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</row>
    <row r="118" ht="15.75" customHeight="1">
      <c r="A118" s="72"/>
      <c r="B118" s="72"/>
      <c r="C118" s="74"/>
      <c r="D118" s="74"/>
      <c r="E118" s="74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</row>
    <row r="119" ht="15.75" customHeight="1">
      <c r="A119" s="72"/>
      <c r="B119" s="72"/>
      <c r="C119" s="74"/>
      <c r="D119" s="74"/>
      <c r="E119" s="74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</row>
    <row r="120" ht="15.75" customHeight="1">
      <c r="A120" s="72"/>
      <c r="B120" s="72"/>
      <c r="C120" s="74"/>
      <c r="D120" s="74"/>
      <c r="E120" s="74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</row>
    <row r="121" ht="15.75" customHeight="1">
      <c r="A121" s="72"/>
      <c r="B121" s="72"/>
      <c r="C121" s="74"/>
      <c r="D121" s="74"/>
      <c r="E121" s="74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</row>
    <row r="122" ht="15.75" customHeight="1">
      <c r="A122" s="72"/>
      <c r="B122" s="72"/>
      <c r="C122" s="74"/>
      <c r="D122" s="74"/>
      <c r="E122" s="74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</row>
    <row r="123" ht="15.75" customHeight="1">
      <c r="A123" s="72"/>
      <c r="B123" s="72"/>
      <c r="C123" s="74"/>
      <c r="D123" s="74"/>
      <c r="E123" s="74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</row>
    <row r="124" ht="15.75" customHeight="1">
      <c r="A124" s="72"/>
      <c r="B124" s="72"/>
      <c r="C124" s="74"/>
      <c r="D124" s="74"/>
      <c r="E124" s="74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</row>
    <row r="125" ht="15.75" customHeight="1">
      <c r="A125" s="72"/>
      <c r="B125" s="72"/>
      <c r="C125" s="74"/>
      <c r="D125" s="74"/>
      <c r="E125" s="74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</row>
    <row r="126" ht="15.75" customHeight="1">
      <c r="A126" s="72"/>
      <c r="B126" s="72"/>
      <c r="C126" s="74"/>
      <c r="D126" s="74"/>
      <c r="E126" s="74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</row>
    <row r="127" ht="15.75" customHeight="1">
      <c r="A127" s="72"/>
      <c r="B127" s="72"/>
      <c r="C127" s="74"/>
      <c r="D127" s="74"/>
      <c r="E127" s="74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</row>
    <row r="128" ht="15.75" customHeight="1">
      <c r="A128" s="72"/>
      <c r="B128" s="72"/>
      <c r="C128" s="74"/>
      <c r="D128" s="74"/>
      <c r="E128" s="74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</row>
    <row r="129" ht="15.75" customHeight="1">
      <c r="A129" s="72"/>
      <c r="B129" s="72"/>
      <c r="C129" s="74"/>
      <c r="D129" s="74"/>
      <c r="E129" s="74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</row>
    <row r="130" ht="15.75" customHeight="1">
      <c r="A130" s="72"/>
      <c r="B130" s="72"/>
      <c r="C130" s="74"/>
      <c r="D130" s="74"/>
      <c r="E130" s="74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</row>
    <row r="131" ht="15.75" customHeight="1">
      <c r="A131" s="72"/>
      <c r="B131" s="72"/>
      <c r="C131" s="74"/>
      <c r="D131" s="74"/>
      <c r="E131" s="74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</row>
    <row r="132" ht="15.75" customHeight="1">
      <c r="A132" s="72"/>
      <c r="B132" s="72"/>
      <c r="C132" s="74"/>
      <c r="D132" s="74"/>
      <c r="E132" s="74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</row>
    <row r="133" ht="15.75" customHeight="1">
      <c r="A133" s="72"/>
      <c r="B133" s="72"/>
      <c r="C133" s="74"/>
      <c r="D133" s="74"/>
      <c r="E133" s="74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</row>
    <row r="134" ht="15.75" customHeight="1">
      <c r="A134" s="72"/>
      <c r="B134" s="72"/>
      <c r="C134" s="74"/>
      <c r="D134" s="74"/>
      <c r="E134" s="74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</row>
    <row r="135" ht="15.75" customHeight="1">
      <c r="A135" s="72"/>
      <c r="B135" s="72"/>
      <c r="C135" s="74"/>
      <c r="D135" s="74"/>
      <c r="E135" s="74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</row>
    <row r="136" ht="15.75" customHeight="1">
      <c r="A136" s="72"/>
      <c r="B136" s="72"/>
      <c r="C136" s="74"/>
      <c r="D136" s="74"/>
      <c r="E136" s="74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</row>
    <row r="137" ht="15.75" customHeight="1">
      <c r="A137" s="72"/>
      <c r="B137" s="72"/>
      <c r="C137" s="74"/>
      <c r="D137" s="74"/>
      <c r="E137" s="74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</row>
    <row r="138" ht="15.75" customHeight="1">
      <c r="A138" s="72"/>
      <c r="B138" s="72"/>
      <c r="C138" s="74"/>
      <c r="D138" s="74"/>
      <c r="E138" s="74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</row>
    <row r="139" ht="15.75" customHeight="1">
      <c r="A139" s="72"/>
      <c r="B139" s="72"/>
      <c r="C139" s="74"/>
      <c r="D139" s="74"/>
      <c r="E139" s="74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</row>
    <row r="140" ht="15.75" customHeight="1">
      <c r="A140" s="72"/>
      <c r="B140" s="72"/>
      <c r="C140" s="74"/>
      <c r="D140" s="74"/>
      <c r="E140" s="74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</row>
    <row r="141" ht="15.75" customHeight="1">
      <c r="A141" s="72"/>
      <c r="B141" s="72"/>
      <c r="C141" s="74"/>
      <c r="D141" s="74"/>
      <c r="E141" s="74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</row>
    <row r="142" ht="15.75" customHeight="1">
      <c r="A142" s="72"/>
      <c r="B142" s="72"/>
      <c r="C142" s="74"/>
      <c r="D142" s="74"/>
      <c r="E142" s="74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</row>
    <row r="143" ht="15.75" customHeight="1">
      <c r="A143" s="72"/>
      <c r="B143" s="72"/>
      <c r="C143" s="74"/>
      <c r="D143" s="74"/>
      <c r="E143" s="74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</row>
    <row r="144" ht="15.75" customHeight="1">
      <c r="A144" s="72"/>
      <c r="B144" s="72"/>
      <c r="C144" s="74"/>
      <c r="D144" s="74"/>
      <c r="E144" s="74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</row>
    <row r="145" ht="15.75" customHeight="1">
      <c r="A145" s="72"/>
      <c r="B145" s="72"/>
      <c r="C145" s="74"/>
      <c r="D145" s="74"/>
      <c r="E145" s="74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</row>
    <row r="146" ht="15.75" customHeight="1">
      <c r="A146" s="72"/>
      <c r="B146" s="72"/>
      <c r="C146" s="74"/>
      <c r="D146" s="74"/>
      <c r="E146" s="74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</row>
    <row r="147" ht="15.75" customHeight="1">
      <c r="A147" s="72"/>
      <c r="B147" s="72"/>
      <c r="C147" s="74"/>
      <c r="D147" s="74"/>
      <c r="E147" s="74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</row>
    <row r="148" ht="15.75" customHeight="1">
      <c r="A148" s="72"/>
      <c r="B148" s="72"/>
      <c r="C148" s="74"/>
      <c r="D148" s="74"/>
      <c r="E148" s="74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</row>
    <row r="149" ht="15.75" customHeight="1">
      <c r="A149" s="72"/>
      <c r="B149" s="72"/>
      <c r="C149" s="74"/>
      <c r="D149" s="74"/>
      <c r="E149" s="74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</row>
    <row r="150" ht="15.75" customHeight="1">
      <c r="A150" s="72"/>
      <c r="B150" s="72"/>
      <c r="C150" s="74"/>
      <c r="D150" s="74"/>
      <c r="E150" s="74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</row>
    <row r="151" ht="15.75" customHeight="1">
      <c r="A151" s="72"/>
      <c r="B151" s="72"/>
      <c r="C151" s="74"/>
      <c r="D151" s="74"/>
      <c r="E151" s="74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</row>
    <row r="152" ht="15.75" customHeight="1">
      <c r="A152" s="72"/>
      <c r="B152" s="72"/>
      <c r="C152" s="74"/>
      <c r="D152" s="74"/>
      <c r="E152" s="74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</row>
    <row r="153" ht="15.75" customHeight="1">
      <c r="A153" s="72"/>
      <c r="B153" s="72"/>
      <c r="C153" s="74"/>
      <c r="D153" s="74"/>
      <c r="E153" s="74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</row>
    <row r="154" ht="15.75" customHeight="1">
      <c r="A154" s="72"/>
      <c r="B154" s="72"/>
      <c r="C154" s="74"/>
      <c r="D154" s="74"/>
      <c r="E154" s="74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</row>
    <row r="155" ht="15.75" customHeight="1">
      <c r="A155" s="72"/>
      <c r="B155" s="72"/>
      <c r="C155" s="74"/>
      <c r="D155" s="74"/>
      <c r="E155" s="74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</row>
    <row r="156" ht="15.75" customHeight="1">
      <c r="A156" s="72"/>
      <c r="B156" s="72"/>
      <c r="C156" s="74"/>
      <c r="D156" s="74"/>
      <c r="E156" s="74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</row>
    <row r="157" ht="15.75" customHeight="1">
      <c r="A157" s="72"/>
      <c r="B157" s="72"/>
      <c r="C157" s="74"/>
      <c r="D157" s="74"/>
      <c r="E157" s="74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</row>
    <row r="158" ht="15.75" customHeight="1">
      <c r="A158" s="72"/>
      <c r="B158" s="72"/>
      <c r="C158" s="74"/>
      <c r="D158" s="74"/>
      <c r="E158" s="74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</row>
    <row r="159" ht="15.75" customHeight="1">
      <c r="A159" s="72"/>
      <c r="B159" s="72"/>
      <c r="C159" s="74"/>
      <c r="D159" s="74"/>
      <c r="E159" s="74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</row>
    <row r="160" ht="15.75" customHeight="1">
      <c r="A160" s="72"/>
      <c r="B160" s="72"/>
      <c r="C160" s="74"/>
      <c r="D160" s="74"/>
      <c r="E160" s="74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ht="15.75" customHeight="1">
      <c r="A161" s="72"/>
      <c r="B161" s="72"/>
      <c r="C161" s="74"/>
      <c r="D161" s="74"/>
      <c r="E161" s="74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</row>
    <row r="162" ht="15.75" customHeight="1">
      <c r="A162" s="72"/>
      <c r="B162" s="72"/>
      <c r="C162" s="74"/>
      <c r="D162" s="74"/>
      <c r="E162" s="74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</row>
    <row r="163" ht="15.75" customHeight="1">
      <c r="A163" s="72"/>
      <c r="B163" s="72"/>
      <c r="C163" s="74"/>
      <c r="D163" s="74"/>
      <c r="E163" s="74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</row>
    <row r="164" ht="15.75" customHeight="1">
      <c r="A164" s="72"/>
      <c r="B164" s="72"/>
      <c r="C164" s="74"/>
      <c r="D164" s="74"/>
      <c r="E164" s="74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</row>
    <row r="165" ht="15.75" customHeight="1">
      <c r="A165" s="72"/>
      <c r="B165" s="72"/>
      <c r="C165" s="74"/>
      <c r="D165" s="74"/>
      <c r="E165" s="74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</row>
    <row r="166" ht="15.75" customHeight="1">
      <c r="A166" s="72"/>
      <c r="B166" s="72"/>
      <c r="C166" s="74"/>
      <c r="D166" s="74"/>
      <c r="E166" s="74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</row>
    <row r="167" ht="15.75" customHeight="1">
      <c r="A167" s="72"/>
      <c r="B167" s="72"/>
      <c r="C167" s="74"/>
      <c r="D167" s="74"/>
      <c r="E167" s="74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</row>
    <row r="168" ht="15.75" customHeight="1">
      <c r="A168" s="72"/>
      <c r="B168" s="72"/>
      <c r="C168" s="74"/>
      <c r="D168" s="74"/>
      <c r="E168" s="74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</row>
    <row r="169" ht="15.75" customHeight="1">
      <c r="A169" s="72"/>
      <c r="B169" s="72"/>
      <c r="C169" s="74"/>
      <c r="D169" s="74"/>
      <c r="E169" s="74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</row>
    <row r="170" ht="15.75" customHeight="1">
      <c r="A170" s="72"/>
      <c r="B170" s="72"/>
      <c r="C170" s="74"/>
      <c r="D170" s="74"/>
      <c r="E170" s="74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</row>
    <row r="171" ht="15.75" customHeight="1">
      <c r="A171" s="72"/>
      <c r="B171" s="72"/>
      <c r="C171" s="74"/>
      <c r="D171" s="74"/>
      <c r="E171" s="74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</row>
    <row r="172" ht="15.75" customHeight="1">
      <c r="A172" s="72"/>
      <c r="B172" s="72"/>
      <c r="C172" s="74"/>
      <c r="D172" s="74"/>
      <c r="E172" s="74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</row>
    <row r="173" ht="15.75" customHeight="1">
      <c r="A173" s="72"/>
      <c r="B173" s="72"/>
      <c r="C173" s="74"/>
      <c r="D173" s="74"/>
      <c r="E173" s="74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</row>
    <row r="174" ht="15.75" customHeight="1">
      <c r="A174" s="72"/>
      <c r="B174" s="72"/>
      <c r="C174" s="74"/>
      <c r="D174" s="74"/>
      <c r="E174" s="74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</row>
    <row r="175" ht="15.75" customHeight="1">
      <c r="A175" s="72"/>
      <c r="B175" s="72"/>
      <c r="C175" s="74"/>
      <c r="D175" s="74"/>
      <c r="E175" s="74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</row>
    <row r="176" ht="15.75" customHeight="1">
      <c r="A176" s="72"/>
      <c r="B176" s="72"/>
      <c r="C176" s="74"/>
      <c r="D176" s="74"/>
      <c r="E176" s="74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</row>
    <row r="177" ht="15.75" customHeight="1">
      <c r="A177" s="72"/>
      <c r="B177" s="72"/>
      <c r="C177" s="74"/>
      <c r="D177" s="74"/>
      <c r="E177" s="74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</row>
    <row r="178" ht="15.75" customHeight="1">
      <c r="A178" s="72"/>
      <c r="B178" s="72"/>
      <c r="C178" s="74"/>
      <c r="D178" s="74"/>
      <c r="E178" s="74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</row>
    <row r="179" ht="15.75" customHeight="1">
      <c r="A179" s="72"/>
      <c r="B179" s="72"/>
      <c r="C179" s="74"/>
      <c r="D179" s="74"/>
      <c r="E179" s="74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</row>
    <row r="180" ht="15.75" customHeight="1">
      <c r="A180" s="72"/>
      <c r="B180" s="72"/>
      <c r="C180" s="74"/>
      <c r="D180" s="74"/>
      <c r="E180" s="74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</row>
    <row r="181" ht="15.75" customHeight="1">
      <c r="A181" s="72"/>
      <c r="B181" s="72"/>
      <c r="C181" s="74"/>
      <c r="D181" s="74"/>
      <c r="E181" s="74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ht="15.75" customHeight="1">
      <c r="A182" s="72"/>
      <c r="B182" s="72"/>
      <c r="C182" s="74"/>
      <c r="D182" s="74"/>
      <c r="E182" s="74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</row>
    <row r="183" ht="15.75" customHeight="1">
      <c r="A183" s="72"/>
      <c r="B183" s="72"/>
      <c r="C183" s="74"/>
      <c r="D183" s="74"/>
      <c r="E183" s="74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</row>
    <row r="184" ht="15.75" customHeight="1">
      <c r="A184" s="72"/>
      <c r="B184" s="72"/>
      <c r="C184" s="74"/>
      <c r="D184" s="74"/>
      <c r="E184" s="74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</row>
    <row r="185" ht="15.75" customHeight="1">
      <c r="A185" s="72"/>
      <c r="B185" s="72"/>
      <c r="C185" s="74"/>
      <c r="D185" s="74"/>
      <c r="E185" s="74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</row>
    <row r="186" ht="15.75" customHeight="1">
      <c r="A186" s="72"/>
      <c r="B186" s="72"/>
      <c r="C186" s="74"/>
      <c r="D186" s="74"/>
      <c r="E186" s="74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</row>
    <row r="187" ht="15.75" customHeight="1">
      <c r="A187" s="72"/>
      <c r="B187" s="72"/>
      <c r="C187" s="74"/>
      <c r="D187" s="74"/>
      <c r="E187" s="74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</row>
    <row r="188" ht="15.75" customHeight="1">
      <c r="A188" s="72"/>
      <c r="B188" s="72"/>
      <c r="C188" s="74"/>
      <c r="D188" s="74"/>
      <c r="E188" s="74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</row>
    <row r="189" ht="15.75" customHeight="1">
      <c r="A189" s="72"/>
      <c r="B189" s="72"/>
      <c r="C189" s="74"/>
      <c r="D189" s="74"/>
      <c r="E189" s="74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</row>
    <row r="190" ht="15.75" customHeight="1">
      <c r="A190" s="72"/>
      <c r="B190" s="72"/>
      <c r="C190" s="74"/>
      <c r="D190" s="74"/>
      <c r="E190" s="74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</row>
    <row r="191" ht="15.75" customHeight="1">
      <c r="A191" s="72"/>
      <c r="B191" s="72"/>
      <c r="C191" s="74"/>
      <c r="D191" s="74"/>
      <c r="E191" s="74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</row>
    <row r="192" ht="15.75" customHeight="1">
      <c r="A192" s="72"/>
      <c r="B192" s="72"/>
      <c r="C192" s="74"/>
      <c r="D192" s="74"/>
      <c r="E192" s="74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</row>
    <row r="193" ht="15.75" customHeight="1">
      <c r="A193" s="72"/>
      <c r="B193" s="72"/>
      <c r="C193" s="74"/>
      <c r="D193" s="74"/>
      <c r="E193" s="74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</row>
    <row r="194" ht="15.75" customHeight="1">
      <c r="A194" s="72"/>
      <c r="B194" s="72"/>
      <c r="C194" s="74"/>
      <c r="D194" s="74"/>
      <c r="E194" s="74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</row>
    <row r="195" ht="15.75" customHeight="1">
      <c r="A195" s="72"/>
      <c r="B195" s="72"/>
      <c r="C195" s="74"/>
      <c r="D195" s="74"/>
      <c r="E195" s="74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</row>
    <row r="196" ht="15.75" customHeight="1">
      <c r="A196" s="72"/>
      <c r="B196" s="72"/>
      <c r="C196" s="74"/>
      <c r="D196" s="74"/>
      <c r="E196" s="74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</row>
    <row r="197" ht="15.75" customHeight="1">
      <c r="A197" s="72"/>
      <c r="B197" s="72"/>
      <c r="C197" s="74"/>
      <c r="D197" s="74"/>
      <c r="E197" s="74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</row>
    <row r="198" ht="15.75" customHeight="1">
      <c r="A198" s="72"/>
      <c r="B198" s="72"/>
      <c r="C198" s="74"/>
      <c r="D198" s="74"/>
      <c r="E198" s="74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</row>
    <row r="199" ht="15.75" customHeight="1">
      <c r="A199" s="72"/>
      <c r="B199" s="72"/>
      <c r="C199" s="74"/>
      <c r="D199" s="74"/>
      <c r="E199" s="74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</row>
    <row r="200" ht="15.75" customHeight="1">
      <c r="A200" s="72"/>
      <c r="B200" s="72"/>
      <c r="C200" s="74"/>
      <c r="D200" s="74"/>
      <c r="E200" s="74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</row>
    <row r="201" ht="15.75" customHeight="1">
      <c r="A201" s="72"/>
      <c r="B201" s="72"/>
      <c r="C201" s="74"/>
      <c r="D201" s="74"/>
      <c r="E201" s="74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</row>
    <row r="202" ht="15.75" customHeight="1">
      <c r="A202" s="72"/>
      <c r="B202" s="72"/>
      <c r="C202" s="74"/>
      <c r="D202" s="74"/>
      <c r="E202" s="74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</row>
    <row r="203" ht="15.75" customHeight="1">
      <c r="A203" s="72"/>
      <c r="B203" s="72"/>
      <c r="C203" s="74"/>
      <c r="D203" s="74"/>
      <c r="E203" s="74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</row>
    <row r="204" ht="15.75" customHeight="1">
      <c r="A204" s="72"/>
      <c r="B204" s="72"/>
      <c r="C204" s="74"/>
      <c r="D204" s="74"/>
      <c r="E204" s="74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</row>
    <row r="205" ht="15.75" customHeight="1">
      <c r="A205" s="72"/>
      <c r="B205" s="72"/>
      <c r="C205" s="74"/>
      <c r="D205" s="74"/>
      <c r="E205" s="74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</row>
    <row r="206" ht="15.75" customHeight="1">
      <c r="A206" s="72"/>
      <c r="B206" s="72"/>
      <c r="C206" s="74"/>
      <c r="D206" s="74"/>
      <c r="E206" s="74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</row>
    <row r="207" ht="15.75" customHeight="1">
      <c r="A207" s="72"/>
      <c r="B207" s="72"/>
      <c r="C207" s="74"/>
      <c r="D207" s="74"/>
      <c r="E207" s="74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</row>
    <row r="208" ht="15.75" customHeight="1">
      <c r="A208" s="72"/>
      <c r="B208" s="72"/>
      <c r="C208" s="74"/>
      <c r="D208" s="74"/>
      <c r="E208" s="74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</row>
    <row r="209" ht="15.75" customHeight="1">
      <c r="A209" s="72"/>
      <c r="B209" s="72"/>
      <c r="C209" s="74"/>
      <c r="D209" s="74"/>
      <c r="E209" s="74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</row>
    <row r="210" ht="15.75" customHeight="1">
      <c r="A210" s="72"/>
      <c r="B210" s="72"/>
      <c r="C210" s="74"/>
      <c r="D210" s="74"/>
      <c r="E210" s="74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</row>
    <row r="211" ht="15.75" customHeight="1">
      <c r="A211" s="72"/>
      <c r="B211" s="72"/>
      <c r="C211" s="74"/>
      <c r="D211" s="74"/>
      <c r="E211" s="74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</row>
    <row r="212" ht="15.75" customHeight="1">
      <c r="A212" s="72"/>
      <c r="B212" s="72"/>
      <c r="C212" s="74"/>
      <c r="D212" s="74"/>
      <c r="E212" s="74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</row>
    <row r="213" ht="15.75" customHeight="1">
      <c r="A213" s="72"/>
      <c r="B213" s="72"/>
      <c r="C213" s="74"/>
      <c r="D213" s="74"/>
      <c r="E213" s="74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</row>
    <row r="214" ht="15.75" customHeight="1">
      <c r="A214" s="72"/>
      <c r="B214" s="72"/>
      <c r="C214" s="74"/>
      <c r="D214" s="74"/>
      <c r="E214" s="74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</row>
    <row r="215" ht="15.75" customHeight="1">
      <c r="A215" s="72"/>
      <c r="B215" s="72"/>
      <c r="C215" s="74"/>
      <c r="D215" s="74"/>
      <c r="E215" s="74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</row>
    <row r="216" ht="15.75" customHeight="1">
      <c r="A216" s="72"/>
      <c r="B216" s="72"/>
      <c r="C216" s="74"/>
      <c r="D216" s="74"/>
      <c r="E216" s="74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</row>
    <row r="217" ht="15.75" customHeight="1">
      <c r="A217" s="72"/>
      <c r="B217" s="72"/>
      <c r="C217" s="74"/>
      <c r="D217" s="74"/>
      <c r="E217" s="74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</row>
    <row r="218" ht="15.75" customHeight="1">
      <c r="A218" s="72"/>
      <c r="B218" s="72"/>
      <c r="C218" s="74"/>
      <c r="D218" s="74"/>
      <c r="E218" s="74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</row>
    <row r="219" ht="15.75" customHeight="1">
      <c r="A219" s="72"/>
      <c r="B219" s="72"/>
      <c r="C219" s="74"/>
      <c r="D219" s="74"/>
      <c r="E219" s="74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</row>
    <row r="220" ht="15.75" customHeight="1">
      <c r="A220" s="72"/>
      <c r="B220" s="72"/>
      <c r="C220" s="74"/>
      <c r="D220" s="74"/>
      <c r="E220" s="74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</row>
    <row r="221" ht="15.75" customHeight="1">
      <c r="A221" s="72"/>
      <c r="B221" s="72"/>
      <c r="C221" s="74"/>
      <c r="D221" s="74"/>
      <c r="E221" s="74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</row>
    <row r="222" ht="15.75" customHeight="1">
      <c r="A222" s="72"/>
      <c r="B222" s="72"/>
      <c r="C222" s="74"/>
      <c r="D222" s="74"/>
      <c r="E222" s="74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</row>
    <row r="223" ht="15.75" customHeight="1">
      <c r="A223" s="72"/>
      <c r="B223" s="72"/>
      <c r="C223" s="74"/>
      <c r="D223" s="74"/>
      <c r="E223" s="74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</row>
    <row r="224" ht="15.75" customHeight="1">
      <c r="A224" s="72"/>
      <c r="B224" s="72"/>
      <c r="C224" s="74"/>
      <c r="D224" s="74"/>
      <c r="E224" s="74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</row>
    <row r="225" ht="15.75" customHeight="1">
      <c r="A225" s="72"/>
      <c r="B225" s="72"/>
      <c r="C225" s="74"/>
      <c r="D225" s="74"/>
      <c r="E225" s="74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</row>
    <row r="226" ht="15.75" customHeight="1">
      <c r="A226" s="72"/>
      <c r="B226" s="72"/>
      <c r="C226" s="74"/>
      <c r="D226" s="74"/>
      <c r="E226" s="74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</row>
    <row r="227" ht="15.75" customHeight="1">
      <c r="A227" s="72"/>
      <c r="B227" s="72"/>
      <c r="C227" s="74"/>
      <c r="D227" s="74"/>
      <c r="E227" s="74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</row>
    <row r="228" ht="15.75" customHeight="1">
      <c r="A228" s="72"/>
      <c r="B228" s="72"/>
      <c r="C228" s="74"/>
      <c r="D228" s="74"/>
      <c r="E228" s="74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</row>
    <row r="229" ht="15.75" customHeight="1">
      <c r="A229" s="72"/>
      <c r="B229" s="72"/>
      <c r="C229" s="74"/>
      <c r="D229" s="74"/>
      <c r="E229" s="74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</row>
    <row r="230" ht="15.75" customHeight="1">
      <c r="A230" s="72"/>
      <c r="B230" s="72"/>
      <c r="C230" s="74"/>
      <c r="D230" s="74"/>
      <c r="E230" s="74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</row>
    <row r="231" ht="15.75" customHeight="1">
      <c r="A231" s="72"/>
      <c r="B231" s="72"/>
      <c r="C231" s="74"/>
      <c r="D231" s="74"/>
      <c r="E231" s="74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</row>
    <row r="232" ht="15.75" customHeight="1">
      <c r="A232" s="72"/>
      <c r="B232" s="72"/>
      <c r="C232" s="74"/>
      <c r="D232" s="74"/>
      <c r="E232" s="74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8.5"/>
    <col customWidth="1" min="3" max="3" width="11.88"/>
    <col customWidth="1" min="4" max="4" width="8.13"/>
    <col customWidth="1" min="5" max="5" width="11.25"/>
    <col customWidth="1" min="6" max="6" width="11.13"/>
    <col customWidth="1" min="7" max="7" width="16.0"/>
    <col customWidth="1" min="8" max="8" width="15.38"/>
    <col customWidth="1" min="9" max="9" width="11.63"/>
    <col customWidth="1" min="10" max="10" width="17.38"/>
    <col customWidth="1" min="11" max="11" width="27.25"/>
    <col customWidth="1" min="12" max="12" width="11.75"/>
    <col customWidth="1" min="13" max="13" width="9.75"/>
    <col customWidth="1" min="14" max="14" width="8.0"/>
    <col customWidth="1" min="15" max="15" width="11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6"/>
      <c r="B2" s="79" t="s">
        <v>211</v>
      </c>
      <c r="C2" s="16"/>
      <c r="D2" s="16"/>
      <c r="E2" s="16"/>
      <c r="F2" s="16"/>
      <c r="G2" s="17"/>
      <c r="H2" s="80"/>
      <c r="I2" s="80"/>
      <c r="J2" s="6"/>
      <c r="K2" s="15" t="s">
        <v>93</v>
      </c>
      <c r="L2" s="16"/>
      <c r="M2" s="16"/>
      <c r="N2" s="16"/>
      <c r="O2" s="17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18" t="s">
        <v>94</v>
      </c>
      <c r="C3" s="19" t="s">
        <v>95</v>
      </c>
      <c r="D3" s="19" t="s">
        <v>97</v>
      </c>
      <c r="E3" s="19" t="s">
        <v>99</v>
      </c>
      <c r="F3" s="81" t="s">
        <v>212</v>
      </c>
      <c r="G3" s="20" t="s">
        <v>6</v>
      </c>
      <c r="J3" s="6"/>
      <c r="K3" s="18" t="s">
        <v>94</v>
      </c>
      <c r="L3" s="19" t="s">
        <v>95</v>
      </c>
      <c r="M3" s="19" t="s">
        <v>99</v>
      </c>
      <c r="N3" s="81" t="s">
        <v>213</v>
      </c>
      <c r="O3" s="20" t="s">
        <v>6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6"/>
      <c r="B4" s="82" t="s">
        <v>214</v>
      </c>
      <c r="C4" s="83" t="s">
        <v>215</v>
      </c>
      <c r="D4" s="83" t="s">
        <v>35</v>
      </c>
      <c r="E4" s="83">
        <v>1.0</v>
      </c>
      <c r="F4" s="84">
        <v>30.0</v>
      </c>
      <c r="G4" s="24"/>
      <c r="J4" s="6"/>
      <c r="K4" s="82" t="s">
        <v>127</v>
      </c>
      <c r="L4" s="83" t="s">
        <v>216</v>
      </c>
      <c r="M4" s="83">
        <v>1.0</v>
      </c>
      <c r="N4" s="84">
        <v>20.0</v>
      </c>
      <c r="O4" s="2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6"/>
      <c r="B5" s="82" t="s">
        <v>217</v>
      </c>
      <c r="C5" s="83" t="s">
        <v>218</v>
      </c>
      <c r="D5" s="83" t="s">
        <v>13</v>
      </c>
      <c r="E5" s="83">
        <v>1.0</v>
      </c>
      <c r="F5" s="84">
        <v>30.0</v>
      </c>
      <c r="G5" s="24"/>
      <c r="J5" s="6"/>
      <c r="K5" s="82" t="s">
        <v>71</v>
      </c>
      <c r="L5" s="83" t="s">
        <v>219</v>
      </c>
      <c r="M5" s="83">
        <v>1.0</v>
      </c>
      <c r="N5" s="84">
        <v>20.0</v>
      </c>
      <c r="O5" s="2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6"/>
      <c r="B6" s="82" t="s">
        <v>220</v>
      </c>
      <c r="C6" s="83" t="s">
        <v>221</v>
      </c>
      <c r="D6" s="83" t="s">
        <v>13</v>
      </c>
      <c r="E6" s="83">
        <v>2.0</v>
      </c>
      <c r="F6" s="84">
        <v>60.0</v>
      </c>
      <c r="G6" s="25"/>
      <c r="J6" s="6"/>
      <c r="K6" s="82" t="s">
        <v>222</v>
      </c>
      <c r="L6" s="83" t="s">
        <v>223</v>
      </c>
      <c r="M6" s="83">
        <v>1.0</v>
      </c>
      <c r="N6" s="84">
        <v>20.0</v>
      </c>
      <c r="O6" s="2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6"/>
      <c r="B7" s="82" t="s">
        <v>220</v>
      </c>
      <c r="C7" s="83" t="s">
        <v>221</v>
      </c>
      <c r="D7" s="83" t="s">
        <v>201</v>
      </c>
      <c r="E7" s="83">
        <v>1.0</v>
      </c>
      <c r="F7" s="84">
        <v>30.0</v>
      </c>
      <c r="G7" s="24"/>
      <c r="J7" s="6"/>
      <c r="K7" s="82" t="s">
        <v>224</v>
      </c>
      <c r="L7" s="85" t="s">
        <v>225</v>
      </c>
      <c r="M7" s="83">
        <v>1.0</v>
      </c>
      <c r="N7" s="84">
        <v>20.0</v>
      </c>
      <c r="O7" s="2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6"/>
      <c r="B8" s="82" t="s">
        <v>226</v>
      </c>
      <c r="C8" s="83" t="s">
        <v>223</v>
      </c>
      <c r="D8" s="83" t="s">
        <v>9</v>
      </c>
      <c r="E8" s="83">
        <v>1.0</v>
      </c>
      <c r="F8" s="84">
        <v>30.0</v>
      </c>
      <c r="G8" s="25"/>
      <c r="J8" s="6"/>
      <c r="K8" s="82" t="s">
        <v>227</v>
      </c>
      <c r="L8" s="85" t="s">
        <v>228</v>
      </c>
      <c r="M8" s="83">
        <v>1.0</v>
      </c>
      <c r="N8" s="84">
        <v>18.0</v>
      </c>
      <c r="O8" s="2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82" t="s">
        <v>224</v>
      </c>
      <c r="C9" s="83" t="s">
        <v>229</v>
      </c>
      <c r="D9" s="83" t="s">
        <v>9</v>
      </c>
      <c r="E9" s="83">
        <v>1.0</v>
      </c>
      <c r="F9" s="84">
        <v>30.0</v>
      </c>
      <c r="G9" s="25"/>
      <c r="J9" s="6"/>
      <c r="K9" s="82" t="s">
        <v>230</v>
      </c>
      <c r="L9" s="85" t="s">
        <v>231</v>
      </c>
      <c r="M9" s="83">
        <v>1.0</v>
      </c>
      <c r="N9" s="84">
        <v>18.0</v>
      </c>
      <c r="O9" s="2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6"/>
      <c r="B10" s="82" t="s">
        <v>232</v>
      </c>
      <c r="C10" s="83" t="s">
        <v>233</v>
      </c>
      <c r="D10" s="83" t="s">
        <v>13</v>
      </c>
      <c r="E10" s="83">
        <v>1.0</v>
      </c>
      <c r="F10" s="84">
        <v>30.0</v>
      </c>
      <c r="G10" s="25"/>
      <c r="J10" s="6"/>
      <c r="K10" s="21"/>
      <c r="L10" s="27"/>
      <c r="M10" s="22"/>
      <c r="N10" s="86"/>
      <c r="O10" s="2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6"/>
      <c r="B11" s="82" t="s">
        <v>230</v>
      </c>
      <c r="C11" s="83">
        <v>3.003832751E9</v>
      </c>
      <c r="D11" s="83" t="s">
        <v>9</v>
      </c>
      <c r="E11" s="83">
        <v>1.0</v>
      </c>
      <c r="F11" s="84">
        <v>30.0</v>
      </c>
      <c r="G11" s="24"/>
      <c r="J11" s="6"/>
      <c r="K11" s="21"/>
      <c r="L11" s="27"/>
      <c r="M11" s="22"/>
      <c r="N11" s="86"/>
      <c r="O11" s="2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21"/>
      <c r="C12" s="22"/>
      <c r="D12" s="22"/>
      <c r="E12" s="22"/>
      <c r="F12" s="86"/>
      <c r="G12" s="24"/>
      <c r="J12" s="6"/>
      <c r="K12" s="21"/>
      <c r="L12" s="27"/>
      <c r="M12" s="22"/>
      <c r="N12" s="86"/>
      <c r="O12" s="2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6"/>
      <c r="B13" s="21"/>
      <c r="C13" s="22"/>
      <c r="D13" s="22"/>
      <c r="E13" s="22"/>
      <c r="F13" s="86"/>
      <c r="G13" s="25"/>
      <c r="J13" s="6"/>
      <c r="K13" s="21"/>
      <c r="L13" s="27"/>
      <c r="M13" s="22"/>
      <c r="N13" s="86"/>
      <c r="O13" s="2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6"/>
      <c r="B14" s="21"/>
      <c r="C14" s="22"/>
      <c r="D14" s="22"/>
      <c r="E14" s="22"/>
      <c r="F14" s="86"/>
      <c r="G14" s="25"/>
      <c r="J14" s="6"/>
      <c r="K14" s="21"/>
      <c r="L14" s="27"/>
      <c r="M14" s="22"/>
      <c r="N14" s="86"/>
      <c r="O14" s="2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21"/>
      <c r="C15" s="22"/>
      <c r="D15" s="22"/>
      <c r="E15" s="22"/>
      <c r="F15" s="86"/>
      <c r="G15" s="25"/>
      <c r="J15" s="6"/>
      <c r="K15" s="21"/>
      <c r="L15" s="27"/>
      <c r="M15" s="27"/>
      <c r="N15" s="86"/>
      <c r="O15" s="2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21"/>
      <c r="C16" s="22"/>
      <c r="D16" s="22"/>
      <c r="E16" s="22"/>
      <c r="F16" s="86"/>
      <c r="G16" s="25"/>
      <c r="J16" s="6"/>
      <c r="K16" s="87" t="s">
        <v>234</v>
      </c>
      <c r="L16" s="88">
        <f>SUM(N4:N15)</f>
        <v>116</v>
      </c>
      <c r="M16" s="89"/>
      <c r="N16" s="89"/>
      <c r="O16" s="90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21"/>
      <c r="C17" s="22"/>
      <c r="D17" s="22"/>
      <c r="E17" s="22"/>
      <c r="F17" s="86"/>
      <c r="G17" s="2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91" t="s">
        <v>235</v>
      </c>
      <c r="C18" s="92">
        <f>SUM(F4:F17)</f>
        <v>270</v>
      </c>
      <c r="D18" s="89"/>
      <c r="E18" s="89"/>
      <c r="F18" s="89"/>
      <c r="G18" s="90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79" t="s">
        <v>236</v>
      </c>
      <c r="C21" s="16"/>
      <c r="D21" s="16"/>
      <c r="E21" s="16"/>
      <c r="F21" s="16"/>
      <c r="G21" s="16"/>
      <c r="H21" s="17"/>
      <c r="I21" s="80"/>
      <c r="J21" s="6"/>
      <c r="K21" s="93" t="s">
        <v>237</v>
      </c>
      <c r="L21" s="16"/>
      <c r="M21" s="16"/>
      <c r="N21" s="16"/>
      <c r="O21" s="17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94" t="s">
        <v>94</v>
      </c>
      <c r="C22" s="95" t="s">
        <v>95</v>
      </c>
      <c r="D22" s="95" t="s">
        <v>97</v>
      </c>
      <c r="E22" s="95" t="s">
        <v>99</v>
      </c>
      <c r="F22" s="96" t="s">
        <v>212</v>
      </c>
      <c r="G22" s="97" t="s">
        <v>238</v>
      </c>
      <c r="H22" s="98" t="s">
        <v>6</v>
      </c>
      <c r="J22" s="6"/>
      <c r="K22" s="99" t="s">
        <v>239</v>
      </c>
      <c r="L22" s="100"/>
      <c r="M22" s="101" t="s">
        <v>97</v>
      </c>
      <c r="N22" s="102" t="s">
        <v>99</v>
      </c>
      <c r="O22" s="10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B23" s="104"/>
      <c r="C23" s="46"/>
      <c r="D23" s="46"/>
      <c r="E23" s="47"/>
      <c r="F23" s="48"/>
      <c r="G23" s="105" t="s">
        <v>240</v>
      </c>
      <c r="H23" s="106"/>
      <c r="J23" s="51"/>
      <c r="K23" s="107" t="str">
        <f>B2</f>
        <v>CAMISA MANGA LARGA</v>
      </c>
      <c r="L23" s="108"/>
      <c r="M23" s="109" t="s">
        <v>35</v>
      </c>
      <c r="N23" s="110">
        <v>1.0</v>
      </c>
      <c r="O23" s="17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104"/>
      <c r="C24" s="46"/>
      <c r="D24" s="46"/>
      <c r="E24" s="47"/>
      <c r="F24" s="48"/>
      <c r="G24" s="105"/>
      <c r="H24" s="106"/>
      <c r="J24" s="6"/>
      <c r="K24" s="111"/>
      <c r="L24" s="112"/>
      <c r="M24" s="113" t="s">
        <v>9</v>
      </c>
      <c r="N24" s="114">
        <v>2.0</v>
      </c>
      <c r="O24" s="115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104"/>
      <c r="C25" s="46"/>
      <c r="D25" s="46"/>
      <c r="E25" s="47"/>
      <c r="F25" s="48"/>
      <c r="G25" s="105"/>
      <c r="H25" s="106"/>
      <c r="J25" s="6"/>
      <c r="K25" s="111"/>
      <c r="L25" s="112"/>
      <c r="M25" s="113" t="s">
        <v>13</v>
      </c>
      <c r="N25" s="114">
        <v>4.0</v>
      </c>
      <c r="O25" s="11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104"/>
      <c r="C26" s="46"/>
      <c r="D26" s="46"/>
      <c r="E26" s="46"/>
      <c r="F26" s="48"/>
      <c r="G26" s="116"/>
      <c r="H26" s="106"/>
      <c r="J26" s="6"/>
      <c r="K26" s="117"/>
      <c r="L26" s="118"/>
      <c r="M26" s="119" t="s">
        <v>201</v>
      </c>
      <c r="N26" s="120">
        <v>1.0</v>
      </c>
      <c r="O26" s="9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104"/>
      <c r="C27" s="46"/>
      <c r="D27" s="46"/>
      <c r="E27" s="46"/>
      <c r="F27" s="48"/>
      <c r="G27" s="116"/>
      <c r="H27" s="106"/>
      <c r="J27" s="6"/>
      <c r="K27" s="121" t="str">
        <f>K2</f>
        <v>GORRAS</v>
      </c>
      <c r="L27" s="122"/>
      <c r="M27" s="123" t="s">
        <v>241</v>
      </c>
      <c r="N27" s="124">
        <f>SUM(M4:M15)</f>
        <v>6</v>
      </c>
      <c r="O27" s="125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126"/>
      <c r="C28" s="47"/>
      <c r="D28" s="46"/>
      <c r="E28" s="46"/>
      <c r="F28" s="48"/>
      <c r="G28" s="116"/>
      <c r="H28" s="106"/>
      <c r="J28" s="6"/>
      <c r="K28" s="127" t="str">
        <f>B21</f>
        <v>BUSO CREMALLERA</v>
      </c>
      <c r="L28" s="118"/>
      <c r="M28" s="128" t="s">
        <v>241</v>
      </c>
      <c r="N28" s="129" t="s">
        <v>241</v>
      </c>
      <c r="O28" s="130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126"/>
      <c r="C29" s="47"/>
      <c r="D29" s="46"/>
      <c r="E29" s="46"/>
      <c r="F29" s="48"/>
      <c r="G29" s="105"/>
      <c r="H29" s="10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104"/>
      <c r="C30" s="46"/>
      <c r="D30" s="46"/>
      <c r="E30" s="46"/>
      <c r="F30" s="48"/>
      <c r="G30" s="116"/>
      <c r="H30" s="10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104"/>
      <c r="C31" s="46"/>
      <c r="D31" s="46"/>
      <c r="E31" s="46"/>
      <c r="F31" s="48"/>
      <c r="G31" s="116"/>
      <c r="H31" s="10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104"/>
      <c r="C32" s="46"/>
      <c r="D32" s="46"/>
      <c r="E32" s="46"/>
      <c r="F32" s="48"/>
      <c r="G32" s="105"/>
      <c r="H32" s="10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104"/>
      <c r="C33" s="46"/>
      <c r="D33" s="46"/>
      <c r="E33" s="46"/>
      <c r="F33" s="48"/>
      <c r="G33" s="116"/>
      <c r="H33" s="10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104"/>
      <c r="C34" s="46"/>
      <c r="D34" s="46"/>
      <c r="E34" s="46"/>
      <c r="F34" s="48"/>
      <c r="G34" s="46"/>
      <c r="H34" s="10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131"/>
      <c r="C35" s="132"/>
      <c r="D35" s="132"/>
      <c r="E35" s="133"/>
      <c r="F35" s="134"/>
      <c r="G35" s="132"/>
      <c r="H35" s="13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</sheetData>
  <mergeCells count="17">
    <mergeCell ref="K22:L22"/>
    <mergeCell ref="K23:L26"/>
    <mergeCell ref="K27:L27"/>
    <mergeCell ref="K28:L28"/>
    <mergeCell ref="N23:O23"/>
    <mergeCell ref="N24:O24"/>
    <mergeCell ref="N25:O25"/>
    <mergeCell ref="N26:O26"/>
    <mergeCell ref="N27:O27"/>
    <mergeCell ref="N28:O28"/>
    <mergeCell ref="B2:G2"/>
    <mergeCell ref="K2:O2"/>
    <mergeCell ref="L16:O16"/>
    <mergeCell ref="C18:G18"/>
    <mergeCell ref="B21:H21"/>
    <mergeCell ref="K21:O21"/>
    <mergeCell ref="N22:O22"/>
  </mergeCells>
  <conditionalFormatting sqref="H23:H35">
    <cfRule type="containsText" dxfId="0" priority="1" operator="containsText" text="Si">
      <formula>NOT(ISERROR(SEARCH(("Si"),(H23))))</formula>
    </cfRule>
  </conditionalFormatting>
  <drawing r:id="rId1"/>
</worksheet>
</file>