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 general" sheetId="1" r:id="rId5"/>
    <sheet state="visible" name="Partes" sheetId="2" r:id="rId6"/>
    <sheet state="visible" name="Historial" sheetId="3" r:id="rId7"/>
    <sheet state="visible" name="Helper" sheetId="4" r:id="rId8"/>
  </sheets>
  <definedNames/>
  <calcPr/>
</workbook>
</file>

<file path=xl/sharedStrings.xml><?xml version="1.0" encoding="utf-8"?>
<sst xmlns="http://schemas.openxmlformats.org/spreadsheetml/2006/main" count="136" uniqueCount="76">
  <si>
    <t>ID</t>
  </si>
  <si>
    <t>Equipo</t>
  </si>
  <si>
    <t>Nombre</t>
  </si>
  <si>
    <t>Tipo</t>
  </si>
  <si>
    <t>Última revisión</t>
  </si>
  <si>
    <t>Condición</t>
  </si>
  <si>
    <t>Número de partes</t>
  </si>
  <si>
    <t>Notas</t>
  </si>
  <si>
    <t>Manual</t>
  </si>
  <si>
    <t>Horox 80x500</t>
  </si>
  <si>
    <t>Galileo</t>
  </si>
  <si>
    <t>Telescopio</t>
  </si>
  <si>
    <t>manual horox.pdf</t>
  </si>
  <si>
    <t>Sky Watcher Star Adventurer GTi</t>
  </si>
  <si>
    <t>Atlas</t>
  </si>
  <si>
    <t>Montura ecuatorial motorizada</t>
  </si>
  <si>
    <t>sagti_manual_rev8c.pdf</t>
  </si>
  <si>
    <t>Hades</t>
  </si>
  <si>
    <t>Genérico</t>
  </si>
  <si>
    <t>Astromaster 114EQ</t>
  </si>
  <si>
    <t>Celestron</t>
  </si>
  <si>
    <t>astromaster-70eq-y-114eq.pdf</t>
  </si>
  <si>
    <t>Tapa con filtro (incluyendo tapa pequeña)</t>
  </si>
  <si>
    <t>Sin nombre</t>
  </si>
  <si>
    <t>8.5/10</t>
  </si>
  <si>
    <t>Cola de milán original</t>
  </si>
  <si>
    <t>Tapa blanca diagonal</t>
  </si>
  <si>
    <t>Cajas y tapas</t>
  </si>
  <si>
    <t>Buscador</t>
  </si>
  <si>
    <t xml:space="preserve">Ocular 20mm </t>
  </si>
  <si>
    <t xml:space="preserve">Sin nombre </t>
  </si>
  <si>
    <t>7.5/10</t>
  </si>
  <si>
    <t>Cajita para guardar ocular</t>
  </si>
  <si>
    <t>Diagonal (con parte circular)</t>
  </si>
  <si>
    <t>Tapas ocular 20mm</t>
  </si>
  <si>
    <t>Diagonal (con parte triangular)</t>
  </si>
  <si>
    <t>Tapa rara (no sé para qué es)</t>
  </si>
  <si>
    <t>Ocular 9mm</t>
  </si>
  <si>
    <t>Caja ocular 9mm</t>
  </si>
  <si>
    <t>Tapas sueltas (ni idea)</t>
  </si>
  <si>
    <t>Pata trípode</t>
  </si>
  <si>
    <t>Trípode</t>
  </si>
  <si>
    <t>Destornillador (el de mover el telescopio)</t>
  </si>
  <si>
    <t>Montura vieja</t>
  </si>
  <si>
    <t>Monturas</t>
  </si>
  <si>
    <t xml:space="preserve">Láser </t>
  </si>
  <si>
    <t>Instrumentos</t>
  </si>
  <si>
    <t>Diagonal dañada</t>
  </si>
  <si>
    <t>Soplador, limpiador y trapito</t>
  </si>
  <si>
    <t>Trípode viejo galileo</t>
  </si>
  <si>
    <t>ID Equipo</t>
  </si>
  <si>
    <t>Nombre del equipo al que pertenece</t>
  </si>
  <si>
    <t>ID Pieza</t>
  </si>
  <si>
    <t>Nombre de la pieza</t>
  </si>
  <si>
    <t>Estado</t>
  </si>
  <si>
    <t>Foto</t>
  </si>
  <si>
    <t>E001</t>
  </si>
  <si>
    <t>Ocular 20mm</t>
  </si>
  <si>
    <t>Diagonal original</t>
  </si>
  <si>
    <t>Diagonal TEMU</t>
  </si>
  <si>
    <t>Montura</t>
  </si>
  <si>
    <t>Tripode</t>
  </si>
  <si>
    <t>Kit de limpieza</t>
  </si>
  <si>
    <t>Maleta</t>
  </si>
  <si>
    <t>E002</t>
  </si>
  <si>
    <t>Extensor</t>
  </si>
  <si>
    <t>Adaptador a extensor</t>
  </si>
  <si>
    <t>Cargador 1</t>
  </si>
  <si>
    <t>Cargador 2</t>
  </si>
  <si>
    <t>ID Parte</t>
  </si>
  <si>
    <t>Fecha</t>
  </si>
  <si>
    <t>Detalles</t>
  </si>
  <si>
    <t>Revisor</t>
  </si>
  <si>
    <t>P001</t>
  </si>
  <si>
    <t>Faltan piezas</t>
  </si>
  <si>
    <t>Falta la tapa trasera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</si>
</sst>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borderId="2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9900"/>
      </font>
      <fill>
        <patternFill patternType="solid">
          <fgColor rgb="FFFCE8B2"/>
          <bgColor rgb="FFFCE8B2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CE8B2"/>
          <bgColor rgb="FFFCE8B2"/>
        </patternFill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>
        <color rgb="FF4A86E8"/>
      </font>
      <fill>
        <patternFill patternType="solid">
          <fgColor rgb="FFC9DAF8"/>
          <bgColor rgb="FFC9DAF8"/>
        </patternFill>
      </fill>
      <border/>
    </dxf>
  </dxfs>
  <tableStyles count="3">
    <tableStyle count="4" pivot="0" name="Estado 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" displayName="Tabla_1" name="Tabla_1" id="1">
  <tableColumns count="9">
    <tableColumn name="ID" id="1"/>
    <tableColumn name="Equipo" id="2"/>
    <tableColumn name="Nombre" id="3"/>
    <tableColumn name="Tipo" id="4"/>
    <tableColumn name="Última revisión" id="5"/>
    <tableColumn name="Condición" id="6"/>
    <tableColumn name="Número de partes" id="7"/>
    <tableColumn name="Notas" id="8"/>
    <tableColumn name="Manual" id="9"/>
  </tableColumns>
  <tableStyleInfo name="Estado general-style" showColumnStripes="0" showFirstColumn="1" showLastColumn="1" showRowStripes="1"/>
</table>
</file>

<file path=xl/tables/table2.xml><?xml version="1.0" encoding="utf-8"?>
<table xmlns="http://schemas.openxmlformats.org/spreadsheetml/2006/main" ref="A1:H16" displayName="Tabla_2" name="Tabla_2" id="2">
  <tableColumns count="8">
    <tableColumn name="ID Equipo" id="1"/>
    <tableColumn name="Nombre del equipo al que pertenece" id="2"/>
    <tableColumn name="ID Pieza" id="3"/>
    <tableColumn name="Nombre de la pieza" id="4"/>
    <tableColumn name="Estado" id="5"/>
    <tableColumn name="Última revisión" id="6"/>
    <tableColumn name="Foto" id="7"/>
    <tableColumn name="Notas" id="8"/>
  </tableColumns>
  <tableStyleInfo name="Partes-style" showColumnStripes="0" showFirstColumn="1" showLastColumn="1" showRowStripes="1"/>
</table>
</file>

<file path=xl/tables/table3.xml><?xml version="1.0" encoding="utf-8"?>
<table xmlns="http://schemas.openxmlformats.org/spreadsheetml/2006/main" ref="A1:H5" displayName="Tabla_3" name="Tabla_3" id="3">
  <tableColumns count="8">
    <tableColumn name="ID" id="1"/>
    <tableColumn name="ID Equipo" id="2"/>
    <tableColumn name="ID Parte" id="3"/>
    <tableColumn name="Estado" id="4"/>
    <tableColumn name="Fecha" id="5"/>
    <tableColumn name="Detalles" id="6"/>
    <tableColumn name="Foto" id="7"/>
    <tableColumn name="Revisor" id="8"/>
  </tableColumns>
  <tableStyleInfo name="Histor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iWW-d73zwvDFp3F5vQLxYWIZpvnFxL2/view?usp=drive_link" TargetMode="External"/><Relationship Id="rId2" Type="http://schemas.openxmlformats.org/officeDocument/2006/relationships/hyperlink" Target="https://drive.google.com/file/d/1sukd73rQjRMCKw-Eui2kmkR2Bz6rKXzR/view?usp=drive_link" TargetMode="External"/><Relationship Id="rId3" Type="http://schemas.openxmlformats.org/officeDocument/2006/relationships/hyperlink" Target="https://drive.google.com/file/d/1z6fCf3NFidBErTStz2pzHryETqtkPs-6/view?usp=drive_link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6.25"/>
    <col customWidth="1" min="4" max="4" width="16.25"/>
    <col customWidth="1" min="5" max="5" width="20.0"/>
    <col customWidth="1" min="6" max="6" width="13.0"/>
    <col customWidth="1" min="7" max="7" width="22.25"/>
    <col customWidth="1" min="9" max="9" width="3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tr">
        <f t="shared" ref="A2:A6" si="1">"E" &amp; TEXT(ROW()-1, "000")</f>
        <v>E001</v>
      </c>
      <c r="B2" s="4" t="s">
        <v>9</v>
      </c>
      <c r="C2" s="4" t="s">
        <v>10</v>
      </c>
      <c r="D2" s="4" t="s">
        <v>11</v>
      </c>
      <c r="E2" s="5">
        <f>IFERROR(__xludf.DUMMYFUNCTION("INDEX(FILTER(Historial!E:E, Historial!B:B=A2), COUNT(FILTER(Historial!E:E, Historial!B:B=A2)))"),45950.0)</f>
        <v>45950</v>
      </c>
      <c r="F2" s="6" t="str">
        <f>Historial!D2</f>
        <v>Faltan piezas</v>
      </c>
      <c r="G2" s="7">
        <f>COUNTIF(Partes!A:A, A2)</f>
        <v>9</v>
      </c>
      <c r="H2" s="8"/>
      <c r="I2" s="9" t="s">
        <v>12</v>
      </c>
    </row>
    <row r="3" ht="22.5" customHeight="1">
      <c r="A3" s="3" t="str">
        <f t="shared" si="1"/>
        <v>E002</v>
      </c>
      <c r="B3" s="4" t="s">
        <v>13</v>
      </c>
      <c r="C3" s="4" t="s">
        <v>14</v>
      </c>
      <c r="D3" s="4" t="s">
        <v>15</v>
      </c>
      <c r="E3" s="5" t="str">
        <f>IFERROR(__xludf.DUMMYFUNCTION("INDEX(FILTER(Historial!E:E, Historial!B:B=A3), COUNT(FILTER(Historial!E:E, Historial!B:B=A3)))"),"#N/A")</f>
        <v>#N/A</v>
      </c>
      <c r="F3" s="6" t="str">
        <f>Historial!D3</f>
        <v/>
      </c>
      <c r="G3" s="7">
        <f>COUNTIF(Partes!A:A, A3)</f>
        <v>6</v>
      </c>
      <c r="H3" s="8"/>
      <c r="I3" s="9" t="s">
        <v>16</v>
      </c>
    </row>
    <row r="4" ht="22.5" customHeight="1">
      <c r="A4" s="3" t="str">
        <f t="shared" si="1"/>
        <v>E003</v>
      </c>
      <c r="B4" s="3"/>
      <c r="C4" s="4" t="s">
        <v>17</v>
      </c>
      <c r="D4" s="3"/>
      <c r="E4" s="5" t="str">
        <f>IFERROR(__xludf.DUMMYFUNCTION("INDEX(FILTER(Historial!E:E, Historial!B:B=A4), COUNT(FILTER(Historial!E:E, Historial!B:B=A4)))"),"#N/A")</f>
        <v>#N/A</v>
      </c>
      <c r="F4" s="6" t="str">
        <f>Historial!D4</f>
        <v/>
      </c>
      <c r="G4" s="7">
        <f>COUNTIF(Partes!A:A, A4)</f>
        <v>0</v>
      </c>
      <c r="H4" s="8"/>
      <c r="I4" s="8"/>
    </row>
    <row r="5" ht="22.5" customHeight="1">
      <c r="A5" s="3" t="str">
        <f t="shared" si="1"/>
        <v>E004</v>
      </c>
      <c r="B5" s="3"/>
      <c r="C5" s="4" t="s">
        <v>18</v>
      </c>
      <c r="D5" s="3"/>
      <c r="E5" s="5" t="str">
        <f>IFERROR(__xludf.DUMMYFUNCTION("INDEX(FILTER(Historial!E:E, Historial!B:B=A5), COUNT(FILTER(Historial!E:E, Historial!B:B=A5)))"),"#N/A")</f>
        <v>#N/A</v>
      </c>
      <c r="F5" s="6" t="str">
        <f>Historial!D5</f>
        <v/>
      </c>
      <c r="G5" s="7">
        <f>COUNTIF(Partes!A:A, A5)</f>
        <v>0</v>
      </c>
      <c r="H5" s="8"/>
      <c r="I5" s="8"/>
    </row>
    <row r="6" ht="22.5" customHeight="1">
      <c r="A6" s="3" t="str">
        <f t="shared" si="1"/>
        <v>E005</v>
      </c>
      <c r="B6" s="10" t="s">
        <v>19</v>
      </c>
      <c r="C6" s="10" t="s">
        <v>20</v>
      </c>
      <c r="D6" s="8"/>
      <c r="E6" s="5" t="str">
        <f>IFERROR(__xludf.DUMMYFUNCTION("INDEX(FILTER(Historial!E:E, Historial!B:B=A6), COUNT(FILTER(Historial!E:E, Historial!B:B=A6)))"),"#N/A")</f>
        <v>#N/A</v>
      </c>
      <c r="F6" s="6" t="str">
        <f>Historial!D6</f>
        <v/>
      </c>
      <c r="G6" s="7">
        <f>COUNTIF(Partes!A:A, A6)</f>
        <v>0</v>
      </c>
      <c r="H6" s="8"/>
      <c r="I6" s="9" t="s">
        <v>21</v>
      </c>
    </row>
    <row r="7" ht="22.5" customHeight="1">
      <c r="A7" s="3"/>
      <c r="B7" s="3"/>
      <c r="C7" s="3"/>
      <c r="D7" s="3"/>
      <c r="E7" s="11"/>
      <c r="F7" s="6" t="str">
        <f>Historial!D7</f>
        <v/>
      </c>
      <c r="G7" s="12"/>
      <c r="H7" s="8"/>
      <c r="I7" s="8"/>
    </row>
    <row r="8" ht="22.5" customHeight="1">
      <c r="A8" s="3"/>
      <c r="B8" s="3"/>
      <c r="C8" s="3"/>
      <c r="D8" s="3"/>
      <c r="E8" s="11"/>
      <c r="F8" s="6" t="str">
        <f>Historial!D8</f>
        <v/>
      </c>
      <c r="G8" s="12"/>
      <c r="H8" s="8"/>
      <c r="I8" s="8"/>
    </row>
    <row r="9" ht="22.5" customHeight="1">
      <c r="A9" s="3"/>
      <c r="B9" s="3"/>
      <c r="C9" s="3"/>
      <c r="D9" s="3"/>
      <c r="E9" s="11"/>
      <c r="F9" s="6" t="str">
        <f>Historial!D9</f>
        <v/>
      </c>
      <c r="G9" s="12"/>
      <c r="H9" s="8"/>
      <c r="I9" s="8"/>
    </row>
    <row r="10" ht="22.5" customHeight="1">
      <c r="A10" s="3"/>
      <c r="B10" s="3"/>
      <c r="C10" s="3"/>
      <c r="D10" s="3"/>
      <c r="E10" s="11"/>
      <c r="F10" s="6" t="str">
        <f>Historial!D10</f>
        <v/>
      </c>
      <c r="G10" s="12"/>
      <c r="H10" s="8"/>
      <c r="I10" s="8"/>
    </row>
    <row r="13">
      <c r="A13" s="13" t="str">
        <f t="shared" ref="A13:A32" si="2">"E" &amp; TEXT(ROW()-1, "000")</f>
        <v>E012</v>
      </c>
      <c r="B13" s="14" t="s">
        <v>22</v>
      </c>
      <c r="C13" s="14" t="s">
        <v>23</v>
      </c>
      <c r="D13" s="14" t="s">
        <v>11</v>
      </c>
      <c r="E13" s="15">
        <v>45947.0</v>
      </c>
      <c r="F13" s="14" t="s">
        <v>24</v>
      </c>
      <c r="G13" s="16"/>
    </row>
    <row r="14">
      <c r="A14" s="17" t="str">
        <f t="shared" si="2"/>
        <v>E013</v>
      </c>
      <c r="B14" s="14" t="s">
        <v>25</v>
      </c>
      <c r="C14" s="14" t="s">
        <v>23</v>
      </c>
      <c r="D14" s="14" t="s">
        <v>11</v>
      </c>
      <c r="E14" s="18">
        <v>45947.0</v>
      </c>
      <c r="F14" s="19">
        <v>45938.0</v>
      </c>
      <c r="G14" s="16"/>
    </row>
    <row r="15">
      <c r="A15" s="17" t="str">
        <f t="shared" si="2"/>
        <v>E014</v>
      </c>
      <c r="B15" s="14" t="s">
        <v>26</v>
      </c>
      <c r="C15" s="14" t="s">
        <v>23</v>
      </c>
      <c r="D15" s="14" t="s">
        <v>27</v>
      </c>
      <c r="E15" s="18">
        <v>45947.0</v>
      </c>
      <c r="F15" s="19">
        <v>45940.0</v>
      </c>
      <c r="G15" s="16"/>
    </row>
    <row r="16">
      <c r="A16" s="17" t="str">
        <f t="shared" si="2"/>
        <v>E015</v>
      </c>
      <c r="B16" s="14" t="s">
        <v>28</v>
      </c>
      <c r="C16" s="14" t="s">
        <v>23</v>
      </c>
      <c r="D16" s="14" t="s">
        <v>11</v>
      </c>
      <c r="E16" s="18">
        <v>45947.0</v>
      </c>
      <c r="F16" s="19">
        <v>45939.0</v>
      </c>
      <c r="G16" s="16"/>
    </row>
    <row r="17">
      <c r="A17" s="17" t="str">
        <f t="shared" si="2"/>
        <v>E016</v>
      </c>
      <c r="B17" s="14" t="s">
        <v>29</v>
      </c>
      <c r="C17" s="14" t="s">
        <v>30</v>
      </c>
      <c r="D17" s="14" t="s">
        <v>11</v>
      </c>
      <c r="E17" s="18">
        <v>45947.0</v>
      </c>
      <c r="F17" s="14" t="s">
        <v>31</v>
      </c>
      <c r="G17" s="16"/>
    </row>
    <row r="18">
      <c r="A18" s="17" t="str">
        <f t="shared" si="2"/>
        <v>E017</v>
      </c>
      <c r="B18" s="14" t="s">
        <v>32</v>
      </c>
      <c r="C18" s="14" t="s">
        <v>30</v>
      </c>
      <c r="D18" s="14" t="s">
        <v>27</v>
      </c>
      <c r="E18" s="18">
        <v>45947.0</v>
      </c>
      <c r="F18" s="19">
        <v>45939.0</v>
      </c>
      <c r="G18" s="16"/>
    </row>
    <row r="19">
      <c r="A19" s="17" t="str">
        <f t="shared" si="2"/>
        <v>E018</v>
      </c>
      <c r="B19" s="14" t="s">
        <v>33</v>
      </c>
      <c r="C19" s="14" t="s">
        <v>23</v>
      </c>
      <c r="D19" s="14" t="s">
        <v>11</v>
      </c>
      <c r="E19" s="18">
        <v>45947.0</v>
      </c>
      <c r="F19" s="19">
        <v>45938.0</v>
      </c>
      <c r="G19" s="16"/>
    </row>
    <row r="20">
      <c r="A20" s="17" t="str">
        <f t="shared" si="2"/>
        <v>E019</v>
      </c>
      <c r="B20" s="14" t="s">
        <v>34</v>
      </c>
      <c r="C20" s="14" t="s">
        <v>23</v>
      </c>
      <c r="D20" s="14" t="s">
        <v>27</v>
      </c>
      <c r="E20" s="18">
        <v>45947.0</v>
      </c>
      <c r="F20" s="14" t="s">
        <v>24</v>
      </c>
      <c r="G20" s="16"/>
    </row>
    <row r="21">
      <c r="A21" s="17" t="str">
        <f t="shared" si="2"/>
        <v>E020</v>
      </c>
      <c r="B21" s="14" t="s">
        <v>35</v>
      </c>
      <c r="C21" s="14" t="s">
        <v>23</v>
      </c>
      <c r="D21" s="14" t="s">
        <v>11</v>
      </c>
      <c r="E21" s="18">
        <v>45947.0</v>
      </c>
      <c r="F21" s="19">
        <v>45937.0</v>
      </c>
      <c r="G21" s="16"/>
    </row>
    <row r="22">
      <c r="A22" s="17" t="str">
        <f t="shared" si="2"/>
        <v>E021</v>
      </c>
      <c r="B22" s="14" t="s">
        <v>36</v>
      </c>
      <c r="C22" s="14" t="s">
        <v>23</v>
      </c>
      <c r="D22" s="14" t="s">
        <v>27</v>
      </c>
      <c r="E22" s="18">
        <v>45947.0</v>
      </c>
      <c r="F22" s="19">
        <v>45938.0</v>
      </c>
      <c r="G22" s="16"/>
    </row>
    <row r="23">
      <c r="A23" s="17" t="str">
        <f t="shared" si="2"/>
        <v>E022</v>
      </c>
      <c r="B23" s="14" t="s">
        <v>37</v>
      </c>
      <c r="C23" s="14" t="s">
        <v>23</v>
      </c>
      <c r="D23" s="14" t="s">
        <v>11</v>
      </c>
      <c r="E23" s="18">
        <v>45947.0</v>
      </c>
      <c r="F23" s="19">
        <v>45939.0</v>
      </c>
      <c r="G23" s="16"/>
    </row>
    <row r="24">
      <c r="A24" s="17" t="str">
        <f t="shared" si="2"/>
        <v>E023</v>
      </c>
      <c r="B24" s="14" t="s">
        <v>38</v>
      </c>
      <c r="C24" s="14" t="s">
        <v>23</v>
      </c>
      <c r="D24" s="14" t="s">
        <v>27</v>
      </c>
      <c r="E24" s="18">
        <v>45947.0</v>
      </c>
      <c r="F24" s="19">
        <v>45939.0</v>
      </c>
      <c r="G24" s="16"/>
    </row>
    <row r="25">
      <c r="A25" s="17" t="str">
        <f t="shared" si="2"/>
        <v>E024</v>
      </c>
      <c r="B25" s="14" t="s">
        <v>39</v>
      </c>
      <c r="C25" s="14" t="s">
        <v>23</v>
      </c>
      <c r="D25" s="14" t="s">
        <v>27</v>
      </c>
      <c r="E25" s="18">
        <v>45947.0</v>
      </c>
      <c r="F25" s="19">
        <v>45938.0</v>
      </c>
      <c r="G25" s="16"/>
    </row>
    <row r="26">
      <c r="A26" s="17" t="str">
        <f t="shared" si="2"/>
        <v>E025</v>
      </c>
      <c r="B26" s="14" t="s">
        <v>40</v>
      </c>
      <c r="C26" s="14" t="s">
        <v>23</v>
      </c>
      <c r="D26" s="14" t="s">
        <v>41</v>
      </c>
      <c r="E26" s="18">
        <v>45947.0</v>
      </c>
      <c r="F26" s="19">
        <v>45933.0</v>
      </c>
      <c r="G26" s="16"/>
    </row>
    <row r="27">
      <c r="A27" s="17" t="str">
        <f t="shared" si="2"/>
        <v>E026</v>
      </c>
      <c r="B27" s="14" t="s">
        <v>42</v>
      </c>
      <c r="C27" s="14" t="s">
        <v>23</v>
      </c>
      <c r="D27" s="14" t="s">
        <v>11</v>
      </c>
      <c r="E27" s="18">
        <v>45947.0</v>
      </c>
      <c r="F27" s="19">
        <v>45938.0</v>
      </c>
      <c r="G27" s="20"/>
    </row>
    <row r="28">
      <c r="A28" s="17" t="str">
        <f t="shared" si="2"/>
        <v>E027</v>
      </c>
      <c r="B28" s="14" t="s">
        <v>43</v>
      </c>
      <c r="C28" s="14" t="s">
        <v>23</v>
      </c>
      <c r="D28" s="14" t="s">
        <v>44</v>
      </c>
      <c r="E28" s="18">
        <v>45947.0</v>
      </c>
      <c r="F28" s="19">
        <v>45935.0</v>
      </c>
      <c r="G28" s="16"/>
    </row>
    <row r="29">
      <c r="A29" s="17" t="str">
        <f t="shared" si="2"/>
        <v>E028</v>
      </c>
      <c r="B29" s="14" t="s">
        <v>45</v>
      </c>
      <c r="C29" s="14" t="s">
        <v>23</v>
      </c>
      <c r="D29" s="14" t="s">
        <v>46</v>
      </c>
      <c r="E29" s="18">
        <v>45947.0</v>
      </c>
      <c r="F29" s="19">
        <v>45939.0</v>
      </c>
      <c r="G29" s="16"/>
    </row>
    <row r="30">
      <c r="A30" s="17" t="str">
        <f t="shared" si="2"/>
        <v>E029</v>
      </c>
      <c r="B30" s="14" t="s">
        <v>47</v>
      </c>
      <c r="C30" s="14" t="s">
        <v>23</v>
      </c>
      <c r="D30" s="14" t="s">
        <v>11</v>
      </c>
      <c r="E30" s="18">
        <v>45947.0</v>
      </c>
      <c r="F30" s="19">
        <v>45933.0</v>
      </c>
      <c r="G30" s="16"/>
    </row>
    <row r="31">
      <c r="A31" s="17" t="str">
        <f t="shared" si="2"/>
        <v>E030</v>
      </c>
      <c r="B31" s="14" t="s">
        <v>48</v>
      </c>
      <c r="C31" s="14" t="s">
        <v>23</v>
      </c>
      <c r="D31" s="14" t="s">
        <v>46</v>
      </c>
      <c r="E31" s="18">
        <v>45947.0</v>
      </c>
      <c r="F31" s="19">
        <v>45939.0</v>
      </c>
      <c r="G31" s="16"/>
    </row>
    <row r="32">
      <c r="A32" s="17" t="str">
        <f t="shared" si="2"/>
        <v>E031</v>
      </c>
      <c r="B32" s="14" t="s">
        <v>49</v>
      </c>
      <c r="C32" s="14" t="s">
        <v>23</v>
      </c>
      <c r="D32" s="14" t="s">
        <v>41</v>
      </c>
      <c r="E32" s="18">
        <v>45947.0</v>
      </c>
      <c r="F32" s="19">
        <v>45934.0</v>
      </c>
      <c r="G32" s="16"/>
    </row>
  </sheetData>
  <conditionalFormatting sqref="F2:F10">
    <cfRule type="cellIs" dxfId="5" priority="1" operator="equal">
      <formula>"Faltan piezas"</formula>
    </cfRule>
  </conditionalFormatting>
  <conditionalFormatting sqref="F2:F10">
    <cfRule type="cellIs" dxfId="6" priority="2" operator="equal">
      <formula>"Bueno"</formula>
    </cfRule>
  </conditionalFormatting>
  <conditionalFormatting sqref="F2:F10">
    <cfRule type="cellIs" dxfId="7" priority="3" operator="equal">
      <formula>"Sucio"</formula>
    </cfRule>
  </conditionalFormatting>
  <conditionalFormatting sqref="F2:F10">
    <cfRule type="cellIs" dxfId="8" priority="4" operator="equal">
      <formula>"Dañado"</formula>
    </cfRule>
  </conditionalFormatting>
  <conditionalFormatting sqref="F2:F10">
    <cfRule type="cellIs" dxfId="9" priority="5" operator="equal">
      <formula>"Sin cambios"</formula>
    </cfRule>
  </conditionalFormatting>
  <dataValidations>
    <dataValidation type="custom" allowBlank="1" showDropDown="1" sqref="E2:E10">
      <formula1>OR(NOT(ISERROR(DATEVALUE(E2))), AND(ISNUMBER(E2), LEFT(CELL("format", E2))="D"))</formula1>
    </dataValidation>
    <dataValidation type="custom" allowBlank="1" showDropDown="1" sqref="G2:G10">
      <formula1>AND(ISNUMBER(G2),(NOT(OR(NOT(ISERROR(DATEVALUE(G2))), AND(ISNUMBER(G2), LEFT(CELL("format", G2))="D")))))</formula1>
    </dataValidation>
  </dataValidations>
  <hyperlinks>
    <hyperlink r:id="rId1" ref="I2"/>
    <hyperlink r:id="rId2" ref="I3"/>
    <hyperlink r:id="rId3" ref="I6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25"/>
    <col customWidth="1" min="4" max="4" width="19.75"/>
    <col customWidth="1" min="5" max="5" width="13.88"/>
    <col customWidth="1" min="6" max="6" width="19.75"/>
  </cols>
  <sheetData>
    <row r="1" ht="22.5" customHeight="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4</v>
      </c>
      <c r="G1" s="21" t="s">
        <v>55</v>
      </c>
      <c r="H1" s="21" t="s">
        <v>7</v>
      </c>
    </row>
    <row r="2" ht="22.5" customHeight="1">
      <c r="A2" s="22" t="s">
        <v>56</v>
      </c>
      <c r="B2" s="23" t="str">
        <f>VLOOKUP(A2, 'Estado general'!A:C, 3, FALSE)</f>
        <v>Galileo</v>
      </c>
      <c r="C2" s="23" t="str">
        <f t="shared" ref="C2:C16" si="1">"P" &amp; TEXT(COUNTIF($A$2:A2, A2), "000")</f>
        <v>P001</v>
      </c>
      <c r="D2" s="22" t="s">
        <v>11</v>
      </c>
      <c r="E2" s="24" t="str">
        <f>IFERROR(__xludf.DUMMYFUNCTION("INDEX(FILTER(Historial!D:D, Historial!B:B=A2, Historial!C:C=C2), COUNT(FILTER(Historial!D:D, Historial!B:B=A2, Historial!C:C=C2)))"),"Faltan piezas")</f>
        <v>Faltan piezas</v>
      </c>
      <c r="F2" s="25">
        <f>IFERROR(__xludf.DUMMYFUNCTION("INDEX(FILTER(Historial!E:E, Historial!B:B=A2, Historial!C:C=C2), COUNT(FILTER(Historial!E:E, Historial!B:B=A2, Historial!C:C=C2)))"),45950.0)</f>
        <v>45950</v>
      </c>
    </row>
    <row r="3" ht="22.5" customHeight="1">
      <c r="A3" s="22" t="s">
        <v>56</v>
      </c>
      <c r="B3" s="26" t="str">
        <f>VLOOKUP(A3, 'Estado general'!A:C, 3, FALSE)</f>
        <v>Galileo</v>
      </c>
      <c r="C3" s="26" t="str">
        <f t="shared" si="1"/>
        <v>P002</v>
      </c>
      <c r="D3" s="27" t="s">
        <v>57</v>
      </c>
      <c r="E3" s="28" t="str">
        <f>IFERROR(__xludf.DUMMYFUNCTION("INDEX(FILTER(Historial!D:D, Historial!B:B=A3, Historial!C:C=C3), COUNT(FILTER(Historial!D:D, Historial!B:B=A3, Historial!C:C=C3)))"),"#N/A")</f>
        <v>#N/A</v>
      </c>
      <c r="F3" s="25" t="str">
        <f>IFERROR(__xludf.DUMMYFUNCTION("INDEX(FILTER(Historial!E:E, Historial!B:B=A3, Historial!C:C=C3), COUNT(FILTER(Historial!E:E, Historial!B:B=A3, Historial!C:C=C3)))"),"#N/A")</f>
        <v>#N/A</v>
      </c>
      <c r="G3" s="26"/>
      <c r="H3" s="26"/>
    </row>
    <row r="4" ht="22.5" customHeight="1">
      <c r="A4" s="22" t="s">
        <v>56</v>
      </c>
      <c r="B4" s="26" t="str">
        <f>VLOOKUP(A4, 'Estado general'!A:C, 3, FALSE)</f>
        <v>Galileo</v>
      </c>
      <c r="C4" s="26" t="str">
        <f t="shared" si="1"/>
        <v>P003</v>
      </c>
      <c r="D4" s="27" t="s">
        <v>37</v>
      </c>
      <c r="E4" s="28" t="str">
        <f>IFERROR(__xludf.DUMMYFUNCTION("INDEX(FILTER(Historial!D:D, Historial!B:B=A4, Historial!C:C=C4), COUNT(FILTER(Historial!D:D, Historial!B:B=A4, Historial!C:C=C4)))"),"#N/A")</f>
        <v>#N/A</v>
      </c>
      <c r="F4" s="25" t="str">
        <f>IFERROR(__xludf.DUMMYFUNCTION("INDEX(FILTER(Historial!E:E, Historial!B:B=A4, Historial!C:C=C4), COUNT(FILTER(Historial!E:E, Historial!B:B=A4, Historial!C:C=C4)))"),"#N/A")</f>
        <v>#N/A</v>
      </c>
      <c r="G4" s="26"/>
      <c r="H4" s="26"/>
    </row>
    <row r="5" ht="22.5" customHeight="1">
      <c r="A5" s="22" t="s">
        <v>56</v>
      </c>
      <c r="B5" s="26" t="str">
        <f>VLOOKUP(A5, 'Estado general'!A:C, 3, FALSE)</f>
        <v>Galileo</v>
      </c>
      <c r="C5" s="26" t="str">
        <f t="shared" si="1"/>
        <v>P004</v>
      </c>
      <c r="D5" s="27" t="s">
        <v>58</v>
      </c>
      <c r="E5" s="28" t="str">
        <f>IFERROR(__xludf.DUMMYFUNCTION("INDEX(FILTER(Historial!D:D, Historial!B:B=A5, Historial!C:C=C5), COUNT(FILTER(Historial!D:D, Historial!B:B=A5, Historial!C:C=C5)))"),"#N/A")</f>
        <v>#N/A</v>
      </c>
      <c r="F5" s="25" t="str">
        <f>IFERROR(__xludf.DUMMYFUNCTION("INDEX(FILTER(Historial!E:E, Historial!B:B=A5, Historial!C:C=C5), COUNT(FILTER(Historial!E:E, Historial!B:B=A5, Historial!C:C=C5)))"),"#N/A")</f>
        <v>#N/A</v>
      </c>
      <c r="G5" s="26"/>
      <c r="H5" s="26"/>
    </row>
    <row r="6" ht="22.5" customHeight="1">
      <c r="A6" s="22" t="s">
        <v>56</v>
      </c>
      <c r="B6" s="26" t="str">
        <f>VLOOKUP(A6, 'Estado general'!A:C, 3, FALSE)</f>
        <v>Galileo</v>
      </c>
      <c r="C6" s="26" t="str">
        <f t="shared" si="1"/>
        <v>P005</v>
      </c>
      <c r="D6" s="27" t="s">
        <v>59</v>
      </c>
      <c r="E6" s="28" t="str">
        <f>IFERROR(__xludf.DUMMYFUNCTION("INDEX(FILTER(Historial!D:D, Historial!B:B=A6, Historial!C:C=C6), COUNT(FILTER(Historial!D:D, Historial!B:B=A6, Historial!C:C=C6)))"),"#N/A")</f>
        <v>#N/A</v>
      </c>
      <c r="F6" s="25" t="str">
        <f>IFERROR(__xludf.DUMMYFUNCTION("INDEX(FILTER(Historial!E:E, Historial!B:B=A6, Historial!C:C=C6), COUNT(FILTER(Historial!E:E, Historial!B:B=A6, Historial!C:C=C6)))"),"#N/A")</f>
        <v>#N/A</v>
      </c>
      <c r="G6" s="26"/>
      <c r="H6" s="26"/>
    </row>
    <row r="7" ht="22.5" customHeight="1">
      <c r="A7" s="22" t="s">
        <v>56</v>
      </c>
      <c r="B7" s="26" t="str">
        <f>VLOOKUP(A7, 'Estado general'!A:C, 3, FALSE)</f>
        <v>Galileo</v>
      </c>
      <c r="C7" s="26" t="str">
        <f t="shared" si="1"/>
        <v>P006</v>
      </c>
      <c r="D7" s="27" t="s">
        <v>60</v>
      </c>
      <c r="E7" s="28" t="str">
        <f>IFERROR(__xludf.DUMMYFUNCTION("INDEX(FILTER(Historial!D:D, Historial!B:B=A7, Historial!C:C=C7), COUNT(FILTER(Historial!D:D, Historial!B:B=A7, Historial!C:C=C7)))"),"#N/A")</f>
        <v>#N/A</v>
      </c>
      <c r="F7" s="25" t="str">
        <f>IFERROR(__xludf.DUMMYFUNCTION("INDEX(FILTER(Historial!E:E, Historial!B:B=A7, Historial!C:C=C7), COUNT(FILTER(Historial!E:E, Historial!B:B=A7, Historial!C:C=C7)))"),"#N/A")</f>
        <v>#N/A</v>
      </c>
      <c r="G7" s="26"/>
      <c r="H7" s="26"/>
    </row>
    <row r="8" ht="22.5" customHeight="1">
      <c r="A8" s="22" t="s">
        <v>56</v>
      </c>
      <c r="B8" s="26" t="str">
        <f>VLOOKUP(A8, 'Estado general'!A:C, 3, FALSE)</f>
        <v>Galileo</v>
      </c>
      <c r="C8" s="26" t="str">
        <f t="shared" si="1"/>
        <v>P007</v>
      </c>
      <c r="D8" s="27" t="s">
        <v>61</v>
      </c>
      <c r="E8" s="28" t="str">
        <f>IFERROR(__xludf.DUMMYFUNCTION("INDEX(FILTER(Historial!D:D, Historial!B:B=A8, Historial!C:C=C8), COUNT(FILTER(Historial!D:D, Historial!B:B=A8, Historial!C:C=C8)))"),"#N/A")</f>
        <v>#N/A</v>
      </c>
      <c r="F8" s="25" t="str">
        <f>IFERROR(__xludf.DUMMYFUNCTION("INDEX(FILTER(Historial!E:E, Historial!B:B=A8, Historial!C:C=C8), COUNT(FILTER(Historial!E:E, Historial!B:B=A8, Historial!C:C=C8)))"),"#N/A")</f>
        <v>#N/A</v>
      </c>
      <c r="G8" s="26"/>
      <c r="H8" s="26"/>
    </row>
    <row r="9" ht="22.5" customHeight="1">
      <c r="A9" s="22" t="s">
        <v>56</v>
      </c>
      <c r="B9" s="26" t="str">
        <f>VLOOKUP(A9, 'Estado general'!A:C, 3, FALSE)</f>
        <v>Galileo</v>
      </c>
      <c r="C9" s="26" t="str">
        <f t="shared" si="1"/>
        <v>P008</v>
      </c>
      <c r="D9" s="27" t="s">
        <v>62</v>
      </c>
      <c r="E9" s="28" t="str">
        <f>IFERROR(__xludf.DUMMYFUNCTION("INDEX(FILTER(Historial!D:D, Historial!B:B=A9, Historial!C:C=C9), COUNT(FILTER(Historial!D:D, Historial!B:B=A9, Historial!C:C=C9)))"),"#N/A")</f>
        <v>#N/A</v>
      </c>
      <c r="F9" s="25" t="str">
        <f>IFERROR(__xludf.DUMMYFUNCTION("INDEX(FILTER(Historial!E:E, Historial!B:B=A9, Historial!C:C=C9), COUNT(FILTER(Historial!E:E, Historial!B:B=A9, Historial!C:C=C9)))"),"#N/A")</f>
        <v>#N/A</v>
      </c>
      <c r="G9" s="26"/>
      <c r="H9" s="26"/>
    </row>
    <row r="10" ht="22.5" customHeight="1">
      <c r="A10" s="22" t="s">
        <v>56</v>
      </c>
      <c r="B10" s="26" t="str">
        <f>VLOOKUP(A10, 'Estado general'!A:C, 3, FALSE)</f>
        <v>Galileo</v>
      </c>
      <c r="C10" s="26" t="str">
        <f t="shared" si="1"/>
        <v>P009</v>
      </c>
      <c r="D10" s="22" t="s">
        <v>63</v>
      </c>
      <c r="E10" s="28" t="str">
        <f>IFERROR(__xludf.DUMMYFUNCTION("INDEX(FILTER(Historial!D:D, Historial!B:B=A10, Historial!C:C=C10), COUNT(FILTER(Historial!D:D, Historial!B:B=A10, Historial!C:C=C10)))"),"#N/A")</f>
        <v>#N/A</v>
      </c>
      <c r="F10" s="25" t="str">
        <f>IFERROR(__xludf.DUMMYFUNCTION("INDEX(FILTER(Historial!E:E, Historial!B:B=A10, Historial!C:C=C10), COUNT(FILTER(Historial!E:E, Historial!B:B=A10, Historial!C:C=C10)))"),"#N/A")</f>
        <v>#N/A</v>
      </c>
      <c r="G10" s="26"/>
      <c r="H10" s="26"/>
    </row>
    <row r="11" ht="22.5" customHeight="1">
      <c r="A11" s="29" t="s">
        <v>64</v>
      </c>
      <c r="B11" s="30" t="str">
        <f>VLOOKUP(A11, 'Estado general'!A:C, 3, FALSE)</f>
        <v>Atlas</v>
      </c>
      <c r="C11" s="30" t="str">
        <f t="shared" si="1"/>
        <v>P001</v>
      </c>
      <c r="D11" s="31" t="s">
        <v>60</v>
      </c>
      <c r="E11" s="32" t="str">
        <f>IFERROR(__xludf.DUMMYFUNCTION("INDEX(FILTER(Historial!D:D, Historial!B:B=A11, Historial!C:C=C11), COUNT(FILTER(Historial!D:D, Historial!B:B=A11, Historial!C:C=C11)))"),"#N/A")</f>
        <v>#N/A</v>
      </c>
      <c r="F11" s="33" t="str">
        <f>IFERROR(__xludf.DUMMYFUNCTION("INDEX(FILTER(Historial!E:E, Historial!B:B=A11, Historial!C:C=C11), COUNT(FILTER(Historial!E:E, Historial!B:B=A11, Historial!C:C=C11)))"),"#N/A")</f>
        <v>#N/A</v>
      </c>
      <c r="G11" s="30"/>
      <c r="H11" s="30"/>
    </row>
    <row r="12" ht="22.5" customHeight="1">
      <c r="A12" s="22" t="s">
        <v>64</v>
      </c>
      <c r="B12" s="26" t="str">
        <f>VLOOKUP(A12, 'Estado general'!A:C, 3, FALSE)</f>
        <v>Atlas</v>
      </c>
      <c r="C12" s="26" t="str">
        <f t="shared" si="1"/>
        <v>P002</v>
      </c>
      <c r="D12" s="27" t="s">
        <v>65</v>
      </c>
      <c r="E12" s="28" t="str">
        <f>IFERROR(__xludf.DUMMYFUNCTION("INDEX(FILTER(Historial!D:D, Historial!B:B=A12, Historial!C:C=C12), COUNT(FILTER(Historial!D:D, Historial!B:B=A12, Historial!C:C=C12)))"),"#N/A")</f>
        <v>#N/A</v>
      </c>
      <c r="F12" s="25" t="str">
        <f>IFERROR(__xludf.DUMMYFUNCTION("INDEX(FILTER(Historial!E:E, Historial!B:B=A12, Historial!C:C=C12), COUNT(FILTER(Historial!E:E, Historial!B:B=A12, Historial!C:C=C12)))"),"#N/A")</f>
        <v>#N/A</v>
      </c>
      <c r="G12" s="26"/>
      <c r="H12" s="26"/>
    </row>
    <row r="13" ht="22.5" customHeight="1">
      <c r="A13" s="22" t="s">
        <v>64</v>
      </c>
      <c r="B13" s="26" t="str">
        <f>VLOOKUP(A13, 'Estado general'!A:C, 3, FALSE)</f>
        <v>Atlas</v>
      </c>
      <c r="C13" s="26" t="str">
        <f t="shared" si="1"/>
        <v>P003</v>
      </c>
      <c r="D13" s="27" t="s">
        <v>66</v>
      </c>
      <c r="E13" s="28" t="str">
        <f>IFERROR(__xludf.DUMMYFUNCTION("INDEX(FILTER(Historial!D:D, Historial!B:B=A13, Historial!C:C=C13), COUNT(FILTER(Historial!D:D, Historial!B:B=A13, Historial!C:C=C13)))"),"#N/A")</f>
        <v>#N/A</v>
      </c>
      <c r="F13" s="25" t="str">
        <f>IFERROR(__xludf.DUMMYFUNCTION("INDEX(FILTER(Historial!E:E, Historial!B:B=A13, Historial!C:C=C13), COUNT(FILTER(Historial!E:E, Historial!B:B=A13, Historial!C:C=C13)))"),"#N/A")</f>
        <v>#N/A</v>
      </c>
      <c r="G13" s="26"/>
      <c r="H13" s="26"/>
    </row>
    <row r="14" ht="22.5" customHeight="1">
      <c r="A14" s="22" t="s">
        <v>64</v>
      </c>
      <c r="B14" s="26" t="str">
        <f>VLOOKUP(A14, 'Estado general'!A:C, 3, FALSE)</f>
        <v>Atlas</v>
      </c>
      <c r="C14" s="26" t="str">
        <f t="shared" si="1"/>
        <v>P004</v>
      </c>
      <c r="D14" s="27" t="s">
        <v>67</v>
      </c>
      <c r="E14" s="28" t="str">
        <f>IFERROR(__xludf.DUMMYFUNCTION("INDEX(FILTER(Historial!D:D, Historial!B:B=A14, Historial!C:C=C14), COUNT(FILTER(Historial!D:D, Historial!B:B=A14, Historial!C:C=C14)))"),"#N/A")</f>
        <v>#N/A</v>
      </c>
      <c r="F14" s="25" t="str">
        <f>IFERROR(__xludf.DUMMYFUNCTION("INDEX(FILTER(Historial!E:E, Historial!B:B=A14, Historial!C:C=C14), COUNT(FILTER(Historial!E:E, Historial!B:B=A14, Historial!C:C=C14)))"),"#N/A")</f>
        <v>#N/A</v>
      </c>
      <c r="G14" s="26"/>
      <c r="H14" s="26"/>
    </row>
    <row r="15" ht="22.5" customHeight="1">
      <c r="A15" s="22" t="s">
        <v>64</v>
      </c>
      <c r="B15" s="26" t="str">
        <f>VLOOKUP(A15, 'Estado general'!A:C, 3, FALSE)</f>
        <v>Atlas</v>
      </c>
      <c r="C15" s="26" t="str">
        <f t="shared" si="1"/>
        <v>P005</v>
      </c>
      <c r="D15" s="27" t="s">
        <v>68</v>
      </c>
      <c r="E15" s="28" t="str">
        <f>IFERROR(__xludf.DUMMYFUNCTION("INDEX(FILTER(Historial!D:D, Historial!B:B=A15, Historial!C:C=C15), COUNT(FILTER(Historial!D:D, Historial!B:B=A15, Historial!C:C=C15)))"),"#N/A")</f>
        <v>#N/A</v>
      </c>
      <c r="F15" s="25" t="str">
        <f>IFERROR(__xludf.DUMMYFUNCTION("INDEX(FILTER(Historial!E:E, Historial!B:B=A15, Historial!C:C=C15), COUNT(FILTER(Historial!E:E, Historial!B:B=A15, Historial!C:C=C15)))"),"#N/A")</f>
        <v>#N/A</v>
      </c>
      <c r="G15" s="26"/>
      <c r="H15" s="26"/>
    </row>
    <row r="16" ht="22.5" customHeight="1">
      <c r="A16" s="22" t="s">
        <v>64</v>
      </c>
      <c r="B16" s="26" t="str">
        <f>VLOOKUP(A16, 'Estado general'!A:C, 3, FALSE)</f>
        <v>Atlas</v>
      </c>
      <c r="C16" s="26" t="str">
        <f t="shared" si="1"/>
        <v>P006</v>
      </c>
      <c r="D16" s="27" t="s">
        <v>61</v>
      </c>
      <c r="E16" s="28" t="str">
        <f>IFERROR(__xludf.DUMMYFUNCTION("INDEX(FILTER(Historial!D:D, Historial!B:B=A16, Historial!C:C=C16), COUNT(FILTER(Historial!D:D, Historial!B:B=A16, Historial!C:C=C16)))"),"#N/A")</f>
        <v>#N/A</v>
      </c>
      <c r="F16" s="25" t="str">
        <f>IFERROR(__xludf.DUMMYFUNCTION("INDEX(FILTER(Historial!E:E, Historial!B:B=A16, Historial!C:C=C16), COUNT(FILTER(Historial!E:E, Historial!B:B=A16, Historial!C:C=C16)))"),"#N/A")</f>
        <v>#N/A</v>
      </c>
      <c r="G16" s="26"/>
      <c r="H16" s="26"/>
    </row>
  </sheetData>
  <dataValidations>
    <dataValidation type="custom" allowBlank="1" showDropDown="1" sqref="F2:F16">
      <formula1>OR(NOT(ISERROR(DATEVALUE(F2))), AND(ISNUMBER(F2), LEFT(CELL("format", F2))="D"))</formula1>
    </dataValidation>
    <dataValidation allowBlank="1" showDropDown="1" sqref="E2:E16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3.88"/>
    <col customWidth="1" min="6" max="6" width="23.0"/>
  </cols>
  <sheetData>
    <row r="1" ht="22.5" customHeight="1">
      <c r="A1" s="34" t="s">
        <v>0</v>
      </c>
      <c r="B1" s="34" t="s">
        <v>50</v>
      </c>
      <c r="C1" s="34" t="s">
        <v>69</v>
      </c>
      <c r="D1" s="34" t="s">
        <v>54</v>
      </c>
      <c r="E1" s="35" t="s">
        <v>70</v>
      </c>
      <c r="F1" s="34" t="s">
        <v>71</v>
      </c>
      <c r="G1" s="34" t="s">
        <v>55</v>
      </c>
      <c r="H1" s="34" t="s">
        <v>72</v>
      </c>
    </row>
    <row r="2" ht="22.5" customHeight="1">
      <c r="A2" s="23" t="str">
        <f t="shared" ref="A2:A5" si="1">"H" &amp; TEXT(ROW()-1, "000")</f>
        <v>H001</v>
      </c>
      <c r="B2" s="22" t="s">
        <v>56</v>
      </c>
      <c r="C2" s="22" t="s">
        <v>73</v>
      </c>
      <c r="D2" s="36" t="s">
        <v>74</v>
      </c>
      <c r="E2" s="25">
        <v>45950.0</v>
      </c>
      <c r="F2" s="22" t="s">
        <v>75</v>
      </c>
      <c r="G2" s="37"/>
    </row>
    <row r="3" ht="22.5" customHeight="1">
      <c r="A3" s="23" t="str">
        <f t="shared" si="1"/>
        <v>H002</v>
      </c>
      <c r="B3" s="27"/>
      <c r="C3" s="27"/>
      <c r="D3" s="38"/>
      <c r="E3" s="39"/>
      <c r="F3" s="27"/>
      <c r="G3" s="26"/>
      <c r="H3" s="26"/>
    </row>
    <row r="4" ht="22.5" customHeight="1">
      <c r="A4" s="23" t="str">
        <f t="shared" si="1"/>
        <v>H003</v>
      </c>
      <c r="B4" s="27"/>
      <c r="C4" s="27"/>
      <c r="D4" s="38"/>
      <c r="E4" s="39"/>
      <c r="F4" s="27"/>
      <c r="G4" s="26"/>
      <c r="H4" s="26"/>
    </row>
    <row r="5" ht="22.5" customHeight="1">
      <c r="A5" s="23" t="str">
        <f t="shared" si="1"/>
        <v>H004</v>
      </c>
      <c r="B5" s="27"/>
      <c r="C5" s="27"/>
      <c r="D5" s="38"/>
      <c r="E5" s="39"/>
      <c r="F5" s="27"/>
      <c r="G5" s="26"/>
      <c r="H5" s="26"/>
    </row>
  </sheetData>
  <dataValidations>
    <dataValidation type="custom" allowBlank="1" showDropDown="1" sqref="E2:E5">
      <formula1>OR(NOT(ISERROR(DATEVALUE(E2))), AND(ISNUMBER(E2), LEFT(CELL("format", E2))="D"))</formula1>
    </dataValidation>
    <dataValidation type="list" allowBlank="1" sqref="D2:D5">
      <formula1>"Bueno,Sucio,Faltan piezas,Dañado,Sin cambios"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10</v>
      </c>
      <c r="Z1" s="41" t="str">
        <f>IFERROR(__xludf.DUMMYFUNCTION("QUERY(UNIQUE(FILTER(Partes!D:D,Partes!B:B=A1)))
"),"Telescopio")</f>
        <v>Telescopio</v>
      </c>
    </row>
    <row r="2">
      <c r="Z2" s="41" t="str">
        <f>IFERROR(__xludf.DUMMYFUNCTION("""COMPUTED_VALUE"""),"Ocular 20mm")</f>
        <v>Ocular 20mm</v>
      </c>
    </row>
    <row r="3">
      <c r="Z3" s="41" t="str">
        <f>IFERROR(__xludf.DUMMYFUNCTION("""COMPUTED_VALUE"""),"Ocular 9mm")</f>
        <v>Ocular 9mm</v>
      </c>
    </row>
    <row r="4">
      <c r="Z4" s="41" t="str">
        <f>IFERROR(__xludf.DUMMYFUNCTION("""COMPUTED_VALUE"""),"Diagonal original")</f>
        <v>Diagonal original</v>
      </c>
    </row>
    <row r="5">
      <c r="Z5" s="41" t="str">
        <f>IFERROR(__xludf.DUMMYFUNCTION("""COMPUTED_VALUE"""),"Diagonal TEMU")</f>
        <v>Diagonal TEMU</v>
      </c>
    </row>
    <row r="6">
      <c r="Z6" s="41" t="str">
        <f>IFERROR(__xludf.DUMMYFUNCTION("""COMPUTED_VALUE"""),"Montura")</f>
        <v>Montura</v>
      </c>
    </row>
    <row r="7">
      <c r="Z7" s="41" t="str">
        <f>IFERROR(__xludf.DUMMYFUNCTION("""COMPUTED_VALUE"""),"Tripode")</f>
        <v>Tripode</v>
      </c>
    </row>
    <row r="8">
      <c r="Z8" s="41" t="str">
        <f>IFERROR(__xludf.DUMMYFUNCTION("""COMPUTED_VALUE"""),"Kit de limpieza")</f>
        <v>Kit de limpieza</v>
      </c>
    </row>
    <row r="9">
      <c r="Z9" s="41" t="str">
        <f>IFERROR(__xludf.DUMMYFUNCTION("""COMPUTED_VALUE"""),"Maleta")</f>
        <v>Maleta</v>
      </c>
    </row>
  </sheetData>
  <drawing r:id="rId1"/>
</worksheet>
</file>